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kis\Desktop\"/>
    </mc:Choice>
  </mc:AlternateContent>
  <xr:revisionPtr revIDLastSave="0" documentId="13_ncr:1_{AB3237F3-CCC2-4DB8-8DB8-A1713CF0DA66}" xr6:coauthVersionLast="44" xr6:coauthVersionMax="44" xr10:uidLastSave="{00000000-0000-0000-0000-000000000000}"/>
  <bookViews>
    <workbookView xWindow="-216" yWindow="0" windowWidth="23256" windowHeight="12600" tabRatio="568" xr2:uid="{00000000-000D-0000-FFFF-FFFF00000000}"/>
  </bookViews>
  <sheets>
    <sheet name="Dashboard" sheetId="21" r:id="rId1"/>
    <sheet name="Link" sheetId="22" r:id="rId2"/>
    <sheet name="Attendance " sheetId="1" r:id="rId3"/>
    <sheet name="Grades" sheetId="3" r:id="rId4"/>
    <sheet name="Reading" sheetId="23" r:id="rId5"/>
    <sheet name="Book_Imp." sheetId="4" r:id="rId6"/>
    <sheet name="Deadlines " sheetId="5" r:id="rId7"/>
    <sheet name="Blackboard" sheetId="7" r:id="rId8"/>
    <sheet name="Users" sheetId="9" r:id="rId9"/>
  </sheets>
  <definedNames>
    <definedName name="_xlnm._FilterDatabase" localSheetId="2" hidden="1">'Attendance '!$A$5:$U$5</definedName>
    <definedName name="Books_Importance">Book_Imp.!$B$9:$C$65</definedName>
    <definedName name="Deadlines">Table7[]</definedName>
    <definedName name="Grades">Table8[#All]</definedName>
    <definedName name="ListOfIDs">Users!$A$5:$A$24</definedName>
    <definedName name="PassList">" "</definedName>
    <definedName name="Reading_List">Reading!$A$6:$H$11</definedName>
    <definedName name="Zonelist">Users!$A$5:$A$24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4" i="21" l="1"/>
  <c r="O24" i="21"/>
  <c r="N24" i="21"/>
  <c r="M24" i="21"/>
  <c r="A18" i="21"/>
  <c r="E18" i="21" s="1"/>
  <c r="L23" i="21"/>
  <c r="P23" i="21" s="1"/>
  <c r="P19" i="21"/>
  <c r="O19" i="21"/>
  <c r="N19" i="21"/>
  <c r="M19" i="21"/>
  <c r="C7" i="7"/>
  <c r="L18" i="21"/>
  <c r="M18" i="21" s="1"/>
  <c r="G29" i="22"/>
  <c r="F29" i="22"/>
  <c r="E29" i="22"/>
  <c r="D29" i="22"/>
  <c r="G24" i="22"/>
  <c r="F24" i="22"/>
  <c r="E24" i="22"/>
  <c r="D24" i="22"/>
  <c r="I13" i="22"/>
  <c r="A23" i="21"/>
  <c r="N9" i="3"/>
  <c r="N10" i="3"/>
  <c r="N11" i="3"/>
  <c r="N12" i="3"/>
  <c r="N13" i="3"/>
  <c r="M9" i="3"/>
  <c r="M10" i="3"/>
  <c r="M11" i="3"/>
  <c r="M12" i="3"/>
  <c r="M13" i="3"/>
  <c r="L5" i="22"/>
  <c r="E5" i="22"/>
  <c r="F5" i="22"/>
  <c r="G5" i="22"/>
  <c r="H5" i="22"/>
  <c r="I5" i="22"/>
  <c r="J5" i="22"/>
  <c r="K5" i="22"/>
  <c r="D5" i="22"/>
  <c r="A16" i="21"/>
  <c r="E16" i="21" s="1"/>
  <c r="B48" i="4"/>
  <c r="H11" i="23"/>
  <c r="G11" i="23"/>
  <c r="F11" i="23"/>
  <c r="E11" i="23"/>
  <c r="D11" i="23"/>
  <c r="C11" i="23"/>
  <c r="A11" i="23"/>
  <c r="F10" i="23"/>
  <c r="E10" i="23"/>
  <c r="D10" i="23"/>
  <c r="C10" i="23"/>
  <c r="D9" i="23"/>
  <c r="C9" i="23"/>
  <c r="A10" i="23"/>
  <c r="A20" i="21"/>
  <c r="E20" i="21" s="1"/>
  <c r="A19" i="21"/>
  <c r="E19" i="21" s="1"/>
  <c r="A17" i="21"/>
  <c r="E17" i="21" s="1"/>
  <c r="M23" i="21" l="1"/>
  <c r="N23" i="21"/>
  <c r="O23" i="21"/>
  <c r="P18" i="21"/>
  <c r="N18" i="21"/>
  <c r="O18" i="21"/>
  <c r="B14" i="4"/>
  <c r="B13" i="4"/>
  <c r="O13" i="3" l="1"/>
  <c r="O12" i="3"/>
  <c r="O11" i="3"/>
  <c r="O10" i="3"/>
  <c r="O9" i="3"/>
  <c r="B42" i="4"/>
  <c r="B49" i="4"/>
  <c r="B65" i="4"/>
  <c r="B57" i="4"/>
  <c r="B40" i="4"/>
  <c r="B34" i="4"/>
  <c r="B33" i="4"/>
  <c r="B35" i="4"/>
  <c r="B26" i="4"/>
  <c r="B28" i="4"/>
  <c r="B27" i="4"/>
  <c r="A25" i="21"/>
  <c r="D8" i="5"/>
  <c r="D7" i="5"/>
  <c r="D14" i="5"/>
  <c r="D13" i="5"/>
  <c r="C4" i="22"/>
  <c r="K9" i="3"/>
  <c r="L9" i="3" s="1"/>
  <c r="K10" i="3"/>
  <c r="L10" i="3" s="1"/>
  <c r="K11" i="3"/>
  <c r="L11" i="3" s="1"/>
  <c r="K12" i="3"/>
  <c r="L12" i="3" s="1"/>
  <c r="K13" i="3"/>
  <c r="L13" i="3" s="1"/>
  <c r="G7" i="7"/>
  <c r="H7" i="7"/>
  <c r="I7" i="7"/>
  <c r="J7" i="7"/>
  <c r="D7" i="7"/>
  <c r="E7" i="7"/>
  <c r="F7" i="7"/>
  <c r="C9" i="22" l="1"/>
  <c r="L9" i="22" s="1"/>
  <c r="C13" i="22"/>
  <c r="J13" i="22" s="1"/>
  <c r="J4" i="22"/>
  <c r="K4" i="22"/>
  <c r="H4" i="22"/>
  <c r="L4" i="22"/>
  <c r="I4" i="22"/>
  <c r="D4" i="22"/>
  <c r="E4" i="22"/>
  <c r="F4" i="22"/>
  <c r="G4" i="22"/>
  <c r="C23" i="22"/>
  <c r="C28" i="22"/>
  <c r="C7" i="3"/>
  <c r="D10" i="22" l="1"/>
  <c r="M9" i="22"/>
  <c r="C9" i="21" s="1"/>
  <c r="N9" i="22"/>
  <c r="A12" i="21" s="1"/>
  <c r="G9" i="22"/>
  <c r="I9" i="22"/>
  <c r="H9" i="22"/>
  <c r="J9" i="22"/>
  <c r="E9" i="22"/>
  <c r="D9" i="22"/>
  <c r="F9" i="22"/>
  <c r="K9" i="22"/>
  <c r="E28" i="22"/>
  <c r="E23" i="22"/>
  <c r="D28" i="22"/>
  <c r="D23" i="22"/>
  <c r="F28" i="22"/>
  <c r="G28" i="22"/>
  <c r="G23" i="22"/>
  <c r="F23" i="22"/>
  <c r="A10" i="9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D7" i="3" l="1"/>
  <c r="E7" i="3"/>
  <c r="F10" i="22" s="1"/>
  <c r="F7" i="3"/>
  <c r="G10" i="22" s="1"/>
  <c r="G7" i="3"/>
  <c r="H7" i="3"/>
  <c r="I10" i="22" s="1"/>
  <c r="I7" i="3"/>
  <c r="J10" i="22" s="1"/>
  <c r="J7" i="3"/>
  <c r="K10" i="22" s="1"/>
  <c r="C7" i="1"/>
  <c r="D7" i="1"/>
  <c r="E7" i="1"/>
  <c r="F7" i="1"/>
  <c r="G7" i="1"/>
  <c r="H7" i="1"/>
  <c r="I7" i="1"/>
  <c r="J7" i="1"/>
  <c r="B7" i="1"/>
  <c r="H10" i="22" l="1"/>
  <c r="N7" i="3"/>
  <c r="E10" i="22"/>
  <c r="M7" i="3"/>
  <c r="K7" i="3"/>
  <c r="L7" i="3" l="1"/>
</calcChain>
</file>

<file path=xl/sharedStrings.xml><?xml version="1.0" encoding="utf-8"?>
<sst xmlns="http://schemas.openxmlformats.org/spreadsheetml/2006/main" count="239" uniqueCount="112">
  <si>
    <t>Student ID</t>
  </si>
  <si>
    <t xml:space="preserve">Attendance and grade deduction based on attendance </t>
  </si>
  <si>
    <t xml:space="preserve">Library </t>
  </si>
  <si>
    <t xml:space="preserve">Performance  and Grades  </t>
  </si>
  <si>
    <t xml:space="preserve">Overall </t>
  </si>
  <si>
    <t xml:space="preserve">Reading List </t>
  </si>
  <si>
    <t>Economics 101</t>
  </si>
  <si>
    <t xml:space="preserve">Attendance  (Lectures-Seminars Combined) </t>
  </si>
  <si>
    <t xml:space="preserve">Busines </t>
  </si>
  <si>
    <t xml:space="preserve">Economics </t>
  </si>
  <si>
    <t xml:space="preserve">Systems Analysis </t>
  </si>
  <si>
    <t xml:space="preserve">Enterprise Systems </t>
  </si>
  <si>
    <t xml:space="preserve">Databases </t>
  </si>
  <si>
    <t>Operations Management</t>
  </si>
  <si>
    <t xml:space="preserve">Supply Chain </t>
  </si>
  <si>
    <t xml:space="preserve">Business Management Theory 101 </t>
  </si>
  <si>
    <t xml:space="preserve">Organisational Behaviour 2nd edition </t>
  </si>
  <si>
    <t xml:space="preserve">Busines Planning 1st edition </t>
  </si>
  <si>
    <t>Economics 102</t>
  </si>
  <si>
    <t>Economics 108</t>
  </si>
  <si>
    <t>Economics 112</t>
  </si>
  <si>
    <t xml:space="preserve">How to Plan a Project </t>
  </si>
  <si>
    <t xml:space="preserve">Systems Tools 3rd edition </t>
  </si>
  <si>
    <t>ERP Management</t>
  </si>
  <si>
    <t xml:space="preserve">How to Code for dummies </t>
  </si>
  <si>
    <t>Learning Visual Basic</t>
  </si>
  <si>
    <t xml:space="preserve">The basic of Databases </t>
  </si>
  <si>
    <t xml:space="preserve">The Key elements of Operations </t>
  </si>
  <si>
    <t>Operations Theory 105</t>
  </si>
  <si>
    <t>Operations Theory 107</t>
  </si>
  <si>
    <t xml:space="preserve">Foundamentals of Economics </t>
  </si>
  <si>
    <t xml:space="preserve">Marketing  </t>
  </si>
  <si>
    <t xml:space="preserve">Marketing Communications </t>
  </si>
  <si>
    <t xml:space="preserve">Marketing Theories for dummies </t>
  </si>
  <si>
    <t xml:space="preserve">Marketing 105 </t>
  </si>
  <si>
    <t>Markeing 233</t>
  </si>
  <si>
    <t>Key elements of SC</t>
  </si>
  <si>
    <t xml:space="preserve">Introduction to Logistics </t>
  </si>
  <si>
    <t>Logistics Theory 107</t>
  </si>
  <si>
    <t>Enterprise Systems 108</t>
  </si>
  <si>
    <t>Assignment 1</t>
  </si>
  <si>
    <t>Assignment 2 (if)</t>
  </si>
  <si>
    <t xml:space="preserve">Deadlines Throughout the year </t>
  </si>
  <si>
    <t xml:space="preserve">Term 1 </t>
  </si>
  <si>
    <t>Term 2</t>
  </si>
  <si>
    <t xml:space="preserve">Grades </t>
  </si>
  <si>
    <t xml:space="preserve">Average </t>
  </si>
  <si>
    <t xml:space="preserve">September </t>
  </si>
  <si>
    <t>October</t>
  </si>
  <si>
    <t>November</t>
  </si>
  <si>
    <t>December</t>
  </si>
  <si>
    <t>February</t>
  </si>
  <si>
    <t>March</t>
  </si>
  <si>
    <t>April</t>
  </si>
  <si>
    <t>May</t>
  </si>
  <si>
    <t>Blackboard Monthly attendance (%)</t>
  </si>
  <si>
    <t>Term 1</t>
  </si>
  <si>
    <t xml:space="preserve">Student ID </t>
  </si>
  <si>
    <t>The importance of transport</t>
  </si>
  <si>
    <t xml:space="preserve">Modules </t>
  </si>
  <si>
    <t>Student :</t>
  </si>
  <si>
    <t xml:space="preserve">Module: </t>
  </si>
  <si>
    <t xml:space="preserve">My Dashboard </t>
  </si>
  <si>
    <t>Disctription</t>
  </si>
  <si>
    <t>Discription</t>
  </si>
  <si>
    <t xml:space="preserve">Comment </t>
  </si>
  <si>
    <t>Final Grade:</t>
  </si>
  <si>
    <t>Attendance (Duble Bar Chart)</t>
  </si>
  <si>
    <t>Deadlines:</t>
  </si>
  <si>
    <t>Books</t>
  </si>
  <si>
    <t>Coment By Course Leader</t>
  </si>
  <si>
    <t xml:space="preserve">Importance </t>
  </si>
  <si>
    <t>Business</t>
  </si>
  <si>
    <t xml:space="preserve">Books </t>
  </si>
  <si>
    <t>Importance</t>
  </si>
  <si>
    <t xml:space="preserve">The importance of momentum </t>
  </si>
  <si>
    <t>Grades Overall Annual Performance (Bullet Chart)</t>
  </si>
  <si>
    <t>Grades Individually for each module compared to class ( Line chart)</t>
  </si>
  <si>
    <t>Term 1 total</t>
  </si>
  <si>
    <t xml:space="preserve">  Term 2 total</t>
  </si>
  <si>
    <t>First</t>
  </si>
  <si>
    <t>3rd</t>
  </si>
  <si>
    <t>2-2</t>
  </si>
  <si>
    <t xml:space="preserve">2-1 </t>
  </si>
  <si>
    <t>Grade</t>
  </si>
  <si>
    <t>FAILED</t>
  </si>
  <si>
    <t xml:space="preserve">Average  </t>
  </si>
  <si>
    <t>Student</t>
  </si>
  <si>
    <t>BlackBoard Term 1</t>
  </si>
  <si>
    <t>BlackBoard Term 2</t>
  </si>
  <si>
    <t>Visualisation of progress</t>
  </si>
  <si>
    <t>Blackboard attendance for term 1</t>
  </si>
  <si>
    <t>This Table is used to link all other sheets with the Dashboard , and gather only the necessary information to create the grahps. To be treated as tool and not main part of data.</t>
  </si>
  <si>
    <t>Blackboard attendance for term 2</t>
  </si>
  <si>
    <t>Class</t>
  </si>
  <si>
    <t xml:space="preserve">Users with registred data </t>
  </si>
  <si>
    <t>All processes remain  the same even with more users</t>
  </si>
  <si>
    <t xml:space="preserve">Note: Due to time issues not all users got registered data </t>
  </si>
  <si>
    <t>Reading List // Showing the importance of each book</t>
  </si>
  <si>
    <t>Comment from course leader:</t>
  </si>
  <si>
    <t xml:space="preserve">Business  </t>
  </si>
  <si>
    <t>Economics</t>
  </si>
  <si>
    <t>Systems</t>
  </si>
  <si>
    <t xml:space="preserve">Enterprise   </t>
  </si>
  <si>
    <t>Databases</t>
  </si>
  <si>
    <t>Operations</t>
  </si>
  <si>
    <t>Marketing</t>
  </si>
  <si>
    <t>Supply Chain</t>
  </si>
  <si>
    <t xml:space="preserve">Systems </t>
  </si>
  <si>
    <t>Enterprise</t>
  </si>
  <si>
    <t>SupplyChain</t>
  </si>
  <si>
    <r>
      <t xml:space="preserve">Module Reading List </t>
    </r>
    <r>
      <rPr>
        <b/>
        <sz val="11"/>
        <color theme="1"/>
        <rFont val="Century Gothic"/>
        <family val="2"/>
      </rPr>
      <t>(With importance rate):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</si>
</sst>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£&quot;* #,##0.00_-;\-&quot;£&quot;* #,##0.00_-;_-&quot;£&quot;* &quot;-&quot;??_-;_-@_-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sz val="14"/>
      <color theme="0"/>
      <name val="Century Gothic"/>
      <family val="2"/>
    </font>
    <font>
      <sz val="11"/>
      <color theme="0"/>
      <name val="Century Gothic"/>
      <family val="2"/>
    </font>
    <font>
      <b/>
      <sz val="14"/>
      <color theme="1"/>
      <name val="Century Gothic"/>
      <family val="2"/>
    </font>
    <font>
      <sz val="14"/>
      <color theme="1"/>
      <name val="Century Gothic"/>
      <family val="2"/>
    </font>
    <font>
      <sz val="8"/>
      <name val="Calibri"/>
      <family val="2"/>
      <scheme val="minor"/>
    </font>
    <font>
      <b/>
      <sz val="11"/>
      <color theme="0"/>
      <name val="Century Gothic"/>
      <family val="2"/>
    </font>
    <font>
      <sz val="12"/>
      <color theme="0"/>
      <name val="Century Gothic"/>
      <family val="2"/>
    </font>
    <font>
      <b/>
      <sz val="12"/>
      <color theme="1"/>
      <name val="Century Gothic"/>
      <family val="2"/>
    </font>
    <font>
      <b/>
      <sz val="12"/>
      <color theme="0"/>
      <name val="Century Gothic"/>
      <family val="2"/>
    </font>
    <font>
      <b/>
      <sz val="16"/>
      <color theme="1"/>
      <name val="Century Gothic"/>
      <family val="2"/>
    </font>
    <font>
      <b/>
      <sz val="11"/>
      <color rgb="FFFA7D00"/>
      <name val="Calibri"/>
      <family val="2"/>
      <scheme val="minor"/>
    </font>
    <font>
      <b/>
      <sz val="14"/>
      <color rgb="FFFA7D00"/>
      <name val="Century Gothic"/>
      <family val="2"/>
    </font>
    <font>
      <sz val="11"/>
      <color theme="0"/>
      <name val="Calibri"/>
      <family val="2"/>
      <scheme val="minor"/>
    </font>
    <font>
      <sz val="12"/>
      <color theme="1"/>
      <name val="Century Gothic"/>
      <family val="2"/>
    </font>
    <font>
      <b/>
      <sz val="12"/>
      <color rgb="FFFF0000"/>
      <name val="Century Gothic"/>
      <family val="2"/>
    </font>
    <font>
      <b/>
      <sz val="12"/>
      <color rgb="FF00B050"/>
      <name val="Century Gothic"/>
      <family val="2"/>
    </font>
    <font>
      <b/>
      <sz val="12"/>
      <color theme="5"/>
      <name val="Century Gothic"/>
      <family val="2"/>
    </font>
    <font>
      <sz val="12"/>
      <color rgb="FF0070C0"/>
      <name val="Century Gothic"/>
      <family val="2"/>
    </font>
    <font>
      <sz val="22"/>
      <color theme="1"/>
      <name val="Century Gothic"/>
      <family val="2"/>
    </font>
    <font>
      <b/>
      <sz val="14"/>
      <color theme="0"/>
      <name val="Century Gothic"/>
      <family val="2"/>
    </font>
    <font>
      <b/>
      <sz val="11"/>
      <color rgb="FFFF0000"/>
      <name val="Century Gothic"/>
      <family val="2"/>
    </font>
    <font>
      <sz val="11"/>
      <color theme="1" tint="0.249977111117893"/>
      <name val="Century Gothic"/>
      <family val="2"/>
    </font>
    <font>
      <sz val="11"/>
      <color theme="2" tint="-0.749992370372631"/>
      <name val="Century Gothic"/>
      <family val="2"/>
    </font>
    <font>
      <sz val="11"/>
      <color theme="1" tint="0.249977111117893"/>
      <name val="Calibri"/>
      <family val="2"/>
      <scheme val="minor"/>
    </font>
    <font>
      <b/>
      <sz val="11"/>
      <color rgb="FF00B050"/>
      <name val="Century Gothic"/>
      <family val="2"/>
    </font>
    <font>
      <b/>
      <sz val="11"/>
      <color theme="5"/>
      <name val="Century Gothic"/>
      <family val="2"/>
    </font>
    <font>
      <sz val="12"/>
      <color theme="1" tint="0.249977111117893"/>
      <name val="Century Gothic"/>
      <family val="2"/>
    </font>
    <font>
      <b/>
      <sz val="12"/>
      <color rgb="FFFFC000"/>
      <name val="Century Gothic"/>
      <family val="2"/>
    </font>
    <font>
      <sz val="16"/>
      <color theme="1"/>
      <name val="Century Gothic"/>
      <family val="2"/>
    </font>
    <font>
      <sz val="18"/>
      <color theme="1"/>
      <name val="Century Gothic"/>
      <family val="2"/>
    </font>
    <font>
      <sz val="16"/>
      <color theme="0"/>
      <name val="Century Gothic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darkUp">
        <bgColor rgb="FFFF0000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6" fillId="9" borderId="12" applyNumberFormat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</cellStyleXfs>
  <cellXfs count="206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2" borderId="0" xfId="0" applyFill="1" applyAlignment="1"/>
    <xf numFmtId="0" fontId="0" fillId="2" borderId="1" xfId="0" applyFill="1" applyBorder="1"/>
    <xf numFmtId="0" fontId="4" fillId="2" borderId="0" xfId="0" applyFont="1" applyFill="1"/>
    <xf numFmtId="0" fontId="4" fillId="2" borderId="1" xfId="0" applyFont="1" applyFill="1" applyBorder="1"/>
    <xf numFmtId="0" fontId="4" fillId="2" borderId="0" xfId="0" applyFont="1" applyFill="1" applyBorder="1"/>
    <xf numFmtId="0" fontId="0" fillId="2" borderId="0" xfId="0" applyFont="1" applyFill="1"/>
    <xf numFmtId="0" fontId="7" fillId="0" borderId="0" xfId="0" applyFont="1" applyFill="1" applyBorder="1" applyAlignment="1"/>
    <xf numFmtId="14" fontId="0" fillId="2" borderId="0" xfId="0" applyNumberFormat="1" applyFill="1" applyBorder="1"/>
    <xf numFmtId="0" fontId="9" fillId="2" borderId="0" xfId="0" applyFont="1" applyFill="1" applyAlignment="1"/>
    <xf numFmtId="0" fontId="5" fillId="4" borderId="1" xfId="0" applyFont="1" applyFill="1" applyBorder="1" applyAlignment="1">
      <alignment horizontal="center"/>
    </xf>
    <xf numFmtId="0" fontId="11" fillId="5" borderId="1" xfId="0" applyFont="1" applyFill="1" applyBorder="1" applyAlignment="1">
      <alignment horizontal="center"/>
    </xf>
    <xf numFmtId="1" fontId="0" fillId="2" borderId="1" xfId="2" applyNumberFormat="1" applyFont="1" applyFill="1" applyBorder="1"/>
    <xf numFmtId="1" fontId="0" fillId="4" borderId="1" xfId="2" applyNumberFormat="1" applyFont="1" applyFill="1" applyBorder="1"/>
    <xf numFmtId="9" fontId="4" fillId="2" borderId="1" xfId="1" applyNumberFormat="1" applyFont="1" applyFill="1" applyBorder="1"/>
    <xf numFmtId="9" fontId="4" fillId="2" borderId="1" xfId="0" applyNumberFormat="1" applyFont="1" applyFill="1" applyBorder="1"/>
    <xf numFmtId="0" fontId="5" fillId="7" borderId="0" xfId="0" applyFont="1" applyFill="1"/>
    <xf numFmtId="0" fontId="4" fillId="2" borderId="0" xfId="0" applyFont="1" applyFill="1" applyBorder="1" applyAlignment="1"/>
    <xf numFmtId="0" fontId="2" fillId="2" borderId="0" xfId="0" applyFont="1" applyFill="1" applyBorder="1"/>
    <xf numFmtId="0" fontId="19" fillId="3" borderId="0" xfId="0" applyFont="1" applyFill="1"/>
    <xf numFmtId="0" fontId="13" fillId="3" borderId="0" xfId="0" applyFont="1" applyFill="1"/>
    <xf numFmtId="1" fontId="13" fillId="3" borderId="0" xfId="0" applyNumberFormat="1" applyFont="1" applyFill="1"/>
    <xf numFmtId="0" fontId="6" fillId="5" borderId="5" xfId="0" applyFont="1" applyFill="1" applyBorder="1"/>
    <xf numFmtId="0" fontId="12" fillId="10" borderId="6" xfId="4" applyFont="1" applyBorder="1"/>
    <xf numFmtId="0" fontId="12" fillId="2" borderId="0" xfId="4" applyFont="1" applyFill="1" applyBorder="1"/>
    <xf numFmtId="0" fontId="4" fillId="3" borderId="5" xfId="0" applyFont="1" applyFill="1" applyBorder="1"/>
    <xf numFmtId="0" fontId="11" fillId="5" borderId="7" xfId="0" applyFont="1" applyFill="1" applyBorder="1" applyAlignment="1">
      <alignment horizontal="center"/>
    </xf>
    <xf numFmtId="0" fontId="0" fillId="2" borderId="7" xfId="0" applyFill="1" applyBorder="1"/>
    <xf numFmtId="0" fontId="5" fillId="0" borderId="5" xfId="0" applyFont="1" applyFill="1" applyBorder="1"/>
    <xf numFmtId="0" fontId="12" fillId="10" borderId="5" xfId="4" applyFont="1" applyBorder="1"/>
    <xf numFmtId="0" fontId="12" fillId="10" borderId="1" xfId="4" applyFont="1" applyBorder="1"/>
    <xf numFmtId="0" fontId="5" fillId="0" borderId="11" xfId="0" applyFont="1" applyFill="1" applyBorder="1"/>
    <xf numFmtId="9" fontId="4" fillId="2" borderId="8" xfId="1" applyNumberFormat="1" applyFont="1" applyFill="1" applyBorder="1"/>
    <xf numFmtId="0" fontId="4" fillId="3" borderId="11" xfId="0" applyFont="1" applyFill="1" applyBorder="1"/>
    <xf numFmtId="1" fontId="0" fillId="2" borderId="8" xfId="2" applyNumberFormat="1" applyFont="1" applyFill="1" applyBorder="1"/>
    <xf numFmtId="0" fontId="0" fillId="2" borderId="8" xfId="0" applyFill="1" applyBorder="1"/>
    <xf numFmtId="0" fontId="0" fillId="2" borderId="10" xfId="0" applyFill="1" applyBorder="1"/>
    <xf numFmtId="0" fontId="0" fillId="2" borderId="0" xfId="0" applyFill="1" applyAlignment="1">
      <alignment horizontal="center"/>
    </xf>
    <xf numFmtId="0" fontId="12" fillId="10" borderId="0" xfId="4" applyFont="1" applyBorder="1"/>
    <xf numFmtId="0" fontId="13" fillId="2" borderId="0" xfId="0" applyFont="1" applyFill="1" applyBorder="1"/>
    <xf numFmtId="1" fontId="19" fillId="2" borderId="0" xfId="1" applyNumberFormat="1" applyFont="1" applyFill="1" applyBorder="1"/>
    <xf numFmtId="0" fontId="0" fillId="2" borderId="0" xfId="0" applyFont="1" applyFill="1" applyBorder="1"/>
    <xf numFmtId="0" fontId="5" fillId="2" borderId="0" xfId="0" applyFont="1" applyFill="1" applyBorder="1"/>
    <xf numFmtId="0" fontId="14" fillId="10" borderId="0" xfId="4" applyFont="1" applyBorder="1"/>
    <xf numFmtId="1" fontId="0" fillId="2" borderId="0" xfId="2" applyNumberFormat="1" applyFont="1" applyFill="1" applyBorder="1"/>
    <xf numFmtId="0" fontId="23" fillId="2" borderId="0" xfId="4" applyFont="1" applyFill="1"/>
    <xf numFmtId="9" fontId="4" fillId="2" borderId="8" xfId="0" applyNumberFormat="1" applyFont="1" applyFill="1" applyBorder="1"/>
    <xf numFmtId="0" fontId="5" fillId="0" borderId="0" xfId="0" applyFont="1" applyFill="1" applyBorder="1"/>
    <xf numFmtId="9" fontId="4" fillId="2" borderId="0" xfId="1" applyNumberFormat="1" applyFont="1" applyFill="1" applyBorder="1"/>
    <xf numFmtId="9" fontId="4" fillId="2" borderId="0" xfId="0" applyNumberFormat="1" applyFont="1" applyFill="1" applyBorder="1"/>
    <xf numFmtId="0" fontId="0" fillId="2" borderId="2" xfId="0" applyFill="1" applyBorder="1" applyAlignment="1"/>
    <xf numFmtId="0" fontId="22" fillId="3" borderId="0" xfId="0" applyFont="1" applyFill="1" applyBorder="1" applyAlignment="1">
      <alignment horizontal="center"/>
    </xf>
    <xf numFmtId="0" fontId="19" fillId="0" borderId="0" xfId="0" applyFont="1"/>
    <xf numFmtId="0" fontId="19" fillId="7" borderId="0" xfId="0" applyFont="1" applyFill="1"/>
    <xf numFmtId="0" fontId="13" fillId="0" borderId="0" xfId="0" applyFont="1"/>
    <xf numFmtId="1" fontId="19" fillId="0" borderId="0" xfId="0" applyNumberFormat="1" applyFont="1"/>
    <xf numFmtId="0" fontId="13" fillId="12" borderId="0" xfId="0" applyFont="1" applyFill="1"/>
    <xf numFmtId="9" fontId="19" fillId="0" borderId="0" xfId="1" applyFont="1"/>
    <xf numFmtId="9" fontId="19" fillId="0" borderId="0" xfId="1" applyNumberFormat="1" applyFont="1"/>
    <xf numFmtId="9" fontId="19" fillId="0" borderId="0" xfId="0" applyNumberFormat="1" applyFont="1"/>
    <xf numFmtId="1" fontId="19" fillId="8" borderId="0" xfId="0" applyNumberFormat="1" applyFont="1" applyFill="1" applyBorder="1"/>
    <xf numFmtId="0" fontId="19" fillId="2" borderId="0" xfId="0" applyFont="1" applyFill="1"/>
    <xf numFmtId="0" fontId="19" fillId="8" borderId="0" xfId="4" applyFont="1" applyFill="1" applyBorder="1"/>
    <xf numFmtId="0" fontId="12" fillId="10" borderId="9" xfId="4" applyFont="1" applyBorder="1"/>
    <xf numFmtId="0" fontId="4" fillId="8" borderId="0" xfId="0" applyFont="1" applyFill="1"/>
    <xf numFmtId="0" fontId="4" fillId="12" borderId="13" xfId="0" applyFont="1" applyFill="1" applyBorder="1"/>
    <xf numFmtId="0" fontId="4" fillId="12" borderId="2" xfId="0" applyFont="1" applyFill="1" applyBorder="1"/>
    <xf numFmtId="0" fontId="4" fillId="12" borderId="4" xfId="0" applyFont="1" applyFill="1" applyBorder="1"/>
    <xf numFmtId="0" fontId="4" fillId="8" borderId="0" xfId="0" applyFont="1" applyFill="1" applyBorder="1"/>
    <xf numFmtId="14" fontId="0" fillId="2" borderId="0" xfId="0" applyNumberFormat="1" applyFill="1"/>
    <xf numFmtId="14" fontId="0" fillId="2" borderId="1" xfId="0" applyNumberFormat="1" applyFill="1" applyBorder="1" applyAlignment="1">
      <alignment horizontal="center"/>
    </xf>
    <xf numFmtId="14" fontId="0" fillId="2" borderId="6" xfId="0" applyNumberFormat="1" applyFill="1" applyBorder="1" applyAlignment="1">
      <alignment horizontal="center"/>
    </xf>
    <xf numFmtId="14" fontId="0" fillId="2" borderId="8" xfId="0" applyNumberFormat="1" applyFill="1" applyBorder="1" applyAlignment="1">
      <alignment horizontal="center"/>
    </xf>
    <xf numFmtId="0" fontId="0" fillId="2" borderId="5" xfId="0" applyNumberFormat="1" applyFill="1" applyBorder="1" applyAlignment="1"/>
    <xf numFmtId="0" fontId="0" fillId="2" borderId="1" xfId="0" applyNumberFormat="1" applyFont="1" applyFill="1" applyBorder="1" applyAlignment="1"/>
    <xf numFmtId="0" fontId="0" fillId="2" borderId="5" xfId="0" applyNumberFormat="1" applyFill="1" applyBorder="1" applyAlignment="1">
      <alignment horizontal="center"/>
    </xf>
    <xf numFmtId="0" fontId="19" fillId="0" borderId="0" xfId="0" applyNumberFormat="1" applyFont="1"/>
    <xf numFmtId="0" fontId="19" fillId="0" borderId="0" xfId="0" applyNumberFormat="1" applyFont="1" applyProtection="1">
      <protection hidden="1"/>
    </xf>
    <xf numFmtId="0" fontId="19" fillId="2" borderId="1" xfId="0" applyNumberFormat="1" applyFont="1" applyFill="1" applyBorder="1"/>
    <xf numFmtId="14" fontId="0" fillId="2" borderId="5" xfId="0" applyNumberFormat="1" applyFill="1" applyBorder="1" applyAlignment="1">
      <alignment horizontal="center"/>
    </xf>
    <xf numFmtId="14" fontId="0" fillId="2" borderId="4" xfId="0" applyNumberFormat="1" applyFill="1" applyBorder="1" applyAlignment="1">
      <alignment horizontal="center"/>
    </xf>
    <xf numFmtId="14" fontId="0" fillId="2" borderId="11" xfId="0" applyNumberFormat="1" applyFill="1" applyBorder="1" applyAlignment="1">
      <alignment horizontal="center"/>
    </xf>
    <xf numFmtId="0" fontId="0" fillId="2" borderId="0" xfId="0" applyNumberFormat="1" applyFont="1" applyFill="1" applyBorder="1" applyAlignment="1"/>
    <xf numFmtId="0" fontId="11" fillId="2" borderId="0" xfId="0" applyNumberFormat="1" applyFont="1" applyFill="1" applyBorder="1" applyAlignment="1"/>
    <xf numFmtId="0" fontId="0" fillId="2" borderId="1" xfId="0" applyNumberFormat="1" applyFont="1" applyFill="1" applyBorder="1" applyAlignment="1">
      <alignment horizontal="center"/>
    </xf>
    <xf numFmtId="0" fontId="0" fillId="2" borderId="8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28" fillId="13" borderId="0" xfId="0" applyFont="1" applyFill="1" applyBorder="1" applyAlignment="1">
      <alignment horizontal="center"/>
    </xf>
    <xf numFmtId="0" fontId="27" fillId="13" borderId="4" xfId="0" applyFont="1" applyFill="1" applyBorder="1" applyAlignment="1">
      <alignment horizontal="center"/>
    </xf>
    <xf numFmtId="0" fontId="27" fillId="13" borderId="13" xfId="0" applyFon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1" xfId="0" applyNumberForma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5" xfId="0" applyNumberFormat="1" applyFill="1" applyBorder="1" applyAlignment="1">
      <alignment horizontal="left"/>
    </xf>
    <xf numFmtId="0" fontId="0" fillId="2" borderId="10" xfId="0" applyFill="1" applyBorder="1" applyAlignment="1"/>
    <xf numFmtId="0" fontId="4" fillId="2" borderId="10" xfId="0" applyFont="1" applyFill="1" applyBorder="1"/>
    <xf numFmtId="0" fontId="0" fillId="2" borderId="11" xfId="0" applyNumberFormat="1" applyFill="1" applyBorder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9" fillId="2" borderId="0" xfId="0" applyFont="1" applyFill="1"/>
    <xf numFmtId="0" fontId="6" fillId="2" borderId="0" xfId="0" applyFont="1" applyFill="1"/>
    <xf numFmtId="0" fontId="7" fillId="2" borderId="0" xfId="0" applyFont="1" applyFill="1"/>
    <xf numFmtId="1" fontId="4" fillId="2" borderId="0" xfId="0" applyNumberFormat="1" applyFont="1" applyFill="1"/>
    <xf numFmtId="0" fontId="30" fillId="2" borderId="0" xfId="0" applyFont="1" applyFill="1"/>
    <xf numFmtId="0" fontId="31" fillId="2" borderId="0" xfId="0" applyFont="1" applyFill="1"/>
    <xf numFmtId="0" fontId="26" fillId="2" borderId="0" xfId="0" applyFont="1" applyFill="1"/>
    <xf numFmtId="0" fontId="14" fillId="2" borderId="0" xfId="0" applyNumberFormat="1" applyFont="1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0" fillId="2" borderId="0" xfId="0" applyNumberFormat="1" applyFill="1"/>
    <xf numFmtId="0" fontId="29" fillId="2" borderId="0" xfId="0" applyFont="1" applyFill="1" applyBorder="1"/>
    <xf numFmtId="0" fontId="29" fillId="13" borderId="4" xfId="0" applyFont="1" applyFill="1" applyBorder="1" applyAlignment="1">
      <alignment horizontal="center"/>
    </xf>
    <xf numFmtId="0" fontId="29" fillId="13" borderId="13" xfId="0" applyFon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9" fontId="3" fillId="7" borderId="0" xfId="0" applyNumberFormat="1" applyFont="1" applyFill="1"/>
    <xf numFmtId="0" fontId="32" fillId="0" borderId="0" xfId="0" applyFont="1" applyFill="1" applyAlignment="1"/>
    <xf numFmtId="0" fontId="12" fillId="10" borderId="3" xfId="4" applyFont="1" applyBorder="1"/>
    <xf numFmtId="1" fontId="19" fillId="2" borderId="1" xfId="0" applyNumberFormat="1" applyFont="1" applyFill="1" applyBorder="1"/>
    <xf numFmtId="1" fontId="19" fillId="2" borderId="0" xfId="0" applyNumberFormat="1" applyFont="1" applyFill="1"/>
    <xf numFmtId="1" fontId="19" fillId="2" borderId="8" xfId="0" applyNumberFormat="1" applyFont="1" applyFill="1" applyBorder="1"/>
    <xf numFmtId="1" fontId="19" fillId="3" borderId="0" xfId="0" applyNumberFormat="1" applyFont="1" applyFill="1"/>
    <xf numFmtId="1" fontId="19" fillId="3" borderId="0" xfId="0" applyNumberFormat="1" applyFont="1" applyFill="1" applyBorder="1"/>
    <xf numFmtId="49" fontId="5" fillId="0" borderId="0" xfId="0" applyNumberFormat="1" applyFont="1" applyAlignment="1">
      <alignment horizontal="center"/>
    </xf>
    <xf numFmtId="1" fontId="0" fillId="0" borderId="0" xfId="0" applyNumberFormat="1"/>
    <xf numFmtId="0" fontId="21" fillId="0" borderId="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22" fillId="0" borderId="0" xfId="0" applyFont="1" applyFill="1" applyBorder="1" applyAlignment="1">
      <alignment horizontal="center"/>
    </xf>
    <xf numFmtId="49" fontId="19" fillId="0" borderId="0" xfId="0" applyNumberFormat="1" applyFont="1" applyAlignment="1">
      <alignment horizontal="center"/>
    </xf>
    <xf numFmtId="49" fontId="13" fillId="12" borderId="0" xfId="0" applyNumberFormat="1" applyFont="1" applyFill="1"/>
    <xf numFmtId="49" fontId="5" fillId="0" borderId="0" xfId="0" applyNumberFormat="1" applyFont="1" applyFill="1" applyAlignment="1">
      <alignment horizontal="center"/>
    </xf>
    <xf numFmtId="0" fontId="9" fillId="12" borderId="3" xfId="0" applyFont="1" applyFill="1" applyBorder="1"/>
    <xf numFmtId="0" fontId="9" fillId="12" borderId="0" xfId="0" applyFont="1" applyFill="1" applyBorder="1"/>
    <xf numFmtId="0" fontId="9" fillId="12" borderId="14" xfId="0" applyFont="1" applyFill="1" applyBorder="1"/>
    <xf numFmtId="0" fontId="9" fillId="12" borderId="14" xfId="0" applyFont="1" applyFill="1" applyBorder="1" applyAlignment="1"/>
    <xf numFmtId="0" fontId="4" fillId="8" borderId="0" xfId="0" applyFont="1" applyFill="1" applyAlignment="1"/>
    <xf numFmtId="0" fontId="13" fillId="0" borderId="0" xfId="0" applyFont="1" applyFill="1" applyAlignment="1">
      <alignment horizontal="center"/>
    </xf>
    <xf numFmtId="0" fontId="19" fillId="0" borderId="0" xfId="0" applyFont="1" applyAlignment="1"/>
    <xf numFmtId="0" fontId="4" fillId="8" borderId="0" xfId="0" applyFont="1" applyFill="1" applyBorder="1" applyAlignment="1"/>
    <xf numFmtId="0" fontId="0" fillId="0" borderId="0" xfId="0" applyAlignment="1"/>
    <xf numFmtId="0" fontId="35" fillId="0" borderId="0" xfId="0" applyFont="1" applyAlignment="1">
      <alignment horizontal="center"/>
    </xf>
    <xf numFmtId="1" fontId="19" fillId="0" borderId="0" xfId="0" applyNumberFormat="1" applyFont="1" applyAlignment="1">
      <alignment horizontal="center"/>
    </xf>
    <xf numFmtId="0" fontId="13" fillId="12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7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7" fillId="9" borderId="17" xfId="3" applyFont="1" applyBorder="1"/>
    <xf numFmtId="0" fontId="17" fillId="2" borderId="0" xfId="3" applyFont="1" applyFill="1" applyBorder="1"/>
    <xf numFmtId="0" fontId="4" fillId="2" borderId="7" xfId="0" applyFont="1" applyFill="1" applyBorder="1"/>
    <xf numFmtId="0" fontId="4" fillId="15" borderId="0" xfId="0" applyFont="1" applyFill="1"/>
    <xf numFmtId="0" fontId="4" fillId="6" borderId="1" xfId="0" applyFont="1" applyFill="1" applyBorder="1"/>
    <xf numFmtId="0" fontId="25" fillId="8" borderId="0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9" fillId="12" borderId="3" xfId="0" applyFont="1" applyFill="1" applyBorder="1" applyAlignment="1">
      <alignment horizontal="center"/>
    </xf>
    <xf numFmtId="0" fontId="9" fillId="12" borderId="0" xfId="0" applyFont="1" applyFill="1" applyBorder="1" applyAlignment="1">
      <alignment horizontal="center"/>
    </xf>
    <xf numFmtId="0" fontId="24" fillId="6" borderId="10" xfId="0" applyFont="1" applyFill="1" applyBorder="1" applyAlignment="1">
      <alignment horizontal="center" vertical="center"/>
    </xf>
    <xf numFmtId="0" fontId="24" fillId="6" borderId="15" xfId="0" applyFont="1" applyFill="1" applyBorder="1" applyAlignment="1">
      <alignment horizontal="center" vertical="center"/>
    </xf>
    <xf numFmtId="0" fontId="24" fillId="6" borderId="11" xfId="0" applyFont="1" applyFill="1" applyBorder="1" applyAlignment="1">
      <alignment horizontal="center" vertical="center"/>
    </xf>
    <xf numFmtId="0" fontId="24" fillId="6" borderId="3" xfId="0" applyFont="1" applyFill="1" applyBorder="1" applyAlignment="1">
      <alignment horizontal="center" vertical="center"/>
    </xf>
    <xf numFmtId="0" fontId="24" fillId="6" borderId="0" xfId="0" applyFont="1" applyFill="1" applyBorder="1" applyAlignment="1">
      <alignment horizontal="center" vertical="center"/>
    </xf>
    <xf numFmtId="0" fontId="24" fillId="6" borderId="14" xfId="0" applyFont="1" applyFill="1" applyBorder="1" applyAlignment="1">
      <alignment horizontal="center" vertical="center"/>
    </xf>
    <xf numFmtId="1" fontId="9" fillId="12" borderId="2" xfId="0" applyNumberFormat="1" applyFont="1" applyFill="1" applyBorder="1" applyAlignment="1">
      <alignment horizontal="center"/>
    </xf>
    <xf numFmtId="1" fontId="9" fillId="12" borderId="4" xfId="0" applyNumberFormat="1" applyFont="1" applyFill="1" applyBorder="1" applyAlignment="1">
      <alignment horizontal="center"/>
    </xf>
    <xf numFmtId="49" fontId="9" fillId="12" borderId="2" xfId="0" applyNumberFormat="1" applyFont="1" applyFill="1" applyBorder="1" applyAlignment="1">
      <alignment horizontal="center"/>
    </xf>
    <xf numFmtId="49" fontId="9" fillId="12" borderId="4" xfId="0" applyNumberFormat="1" applyFont="1" applyFill="1" applyBorder="1" applyAlignment="1">
      <alignment horizontal="center"/>
    </xf>
    <xf numFmtId="0" fontId="9" fillId="12" borderId="3" xfId="0" applyFont="1" applyFill="1" applyBorder="1" applyAlignment="1">
      <alignment horizontal="left"/>
    </xf>
    <xf numFmtId="0" fontId="9" fillId="12" borderId="0" xfId="0" applyFont="1" applyFill="1" applyBorder="1" applyAlignment="1">
      <alignment horizontal="left"/>
    </xf>
    <xf numFmtId="14" fontId="34" fillId="8" borderId="0" xfId="0" applyNumberFormat="1" applyFont="1" applyFill="1" applyBorder="1" applyAlignment="1">
      <alignment horizontal="center" vertical="center"/>
    </xf>
    <xf numFmtId="14" fontId="34" fillId="8" borderId="2" xfId="0" applyNumberFormat="1" applyFont="1" applyFill="1" applyBorder="1" applyAlignment="1">
      <alignment horizontal="center" vertical="center"/>
    </xf>
    <xf numFmtId="0" fontId="25" fillId="14" borderId="0" xfId="0" applyFont="1" applyFill="1" applyAlignment="1">
      <alignment horizontal="center" vertical="center"/>
    </xf>
    <xf numFmtId="14" fontId="34" fillId="8" borderId="0" xfId="0" applyNumberFormat="1" applyFont="1" applyFill="1" applyAlignment="1">
      <alignment horizontal="center" vertical="center"/>
    </xf>
    <xf numFmtId="49" fontId="19" fillId="12" borderId="13" xfId="0" applyNumberFormat="1" applyFont="1" applyFill="1" applyBorder="1" applyAlignment="1">
      <alignment horizontal="center"/>
    </xf>
    <xf numFmtId="49" fontId="19" fillId="12" borderId="2" xfId="0" applyNumberFormat="1" applyFont="1" applyFill="1" applyBorder="1" applyAlignment="1">
      <alignment horizontal="center"/>
    </xf>
    <xf numFmtId="49" fontId="19" fillId="12" borderId="4" xfId="0" applyNumberFormat="1" applyFont="1" applyFill="1" applyBorder="1" applyAlignment="1">
      <alignment horizontal="center"/>
    </xf>
    <xf numFmtId="0" fontId="36" fillId="11" borderId="0" xfId="5" applyFont="1" applyBorder="1" applyAlignment="1">
      <alignment horizontal="center"/>
    </xf>
    <xf numFmtId="0" fontId="8" fillId="6" borderId="3" xfId="0" applyFont="1" applyFill="1" applyBorder="1" applyAlignment="1">
      <alignment horizontal="left"/>
    </xf>
    <xf numFmtId="0" fontId="8" fillId="6" borderId="0" xfId="0" applyFont="1" applyFill="1" applyBorder="1" applyAlignment="1">
      <alignment horizontal="left"/>
    </xf>
    <xf numFmtId="0" fontId="8" fillId="6" borderId="14" xfId="0" applyFont="1" applyFill="1" applyBorder="1" applyAlignment="1">
      <alignment horizontal="left"/>
    </xf>
    <xf numFmtId="0" fontId="9" fillId="8" borderId="7" xfId="0" applyNumberFormat="1" applyFont="1" applyFill="1" applyBorder="1" applyAlignment="1" applyProtection="1">
      <alignment horizontal="center" vertical="center"/>
      <protection hidden="1"/>
    </xf>
    <xf numFmtId="0" fontId="9" fillId="8" borderId="16" xfId="0" applyNumberFormat="1" applyFont="1" applyFill="1" applyBorder="1" applyAlignment="1" applyProtection="1">
      <alignment horizontal="center" vertical="center"/>
      <protection hidden="1"/>
    </xf>
    <xf numFmtId="0" fontId="9" fillId="8" borderId="5" xfId="0" applyNumberFormat="1" applyFont="1" applyFill="1" applyBorder="1" applyAlignment="1" applyProtection="1">
      <alignment horizontal="center" vertical="center"/>
      <protection hidden="1"/>
    </xf>
    <xf numFmtId="0" fontId="9" fillId="8" borderId="13" xfId="0" applyNumberFormat="1" applyFont="1" applyFill="1" applyBorder="1" applyAlignment="1" applyProtection="1">
      <alignment horizontal="center" vertical="center"/>
      <protection hidden="1"/>
    </xf>
    <xf numFmtId="0" fontId="9" fillId="8" borderId="2" xfId="0" applyNumberFormat="1" applyFont="1" applyFill="1" applyBorder="1" applyAlignment="1" applyProtection="1">
      <alignment horizontal="center" vertical="center"/>
      <protection hidden="1"/>
    </xf>
    <xf numFmtId="0" fontId="9" fillId="8" borderId="4" xfId="0" applyNumberFormat="1" applyFont="1" applyFill="1" applyBorder="1" applyAlignment="1" applyProtection="1">
      <alignment horizontal="center" vertical="center"/>
      <protection hidden="1"/>
    </xf>
    <xf numFmtId="0" fontId="14" fillId="14" borderId="0" xfId="0" applyFont="1" applyFill="1" applyAlignment="1">
      <alignment horizontal="center"/>
    </xf>
    <xf numFmtId="0" fontId="19" fillId="7" borderId="0" xfId="0" applyFont="1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8" fillId="6" borderId="3" xfId="0" applyFont="1" applyFill="1" applyBorder="1" applyAlignment="1">
      <alignment horizontal="center"/>
    </xf>
    <xf numFmtId="0" fontId="8" fillId="6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3" fillId="6" borderId="1" xfId="0" applyFont="1" applyFill="1" applyBorder="1" applyAlignment="1">
      <alignment horizontal="center"/>
    </xf>
    <xf numFmtId="0" fontId="4" fillId="6" borderId="0" xfId="0" applyFont="1" applyFill="1" applyBorder="1" applyAlignment="1">
      <alignment horizontal="center"/>
    </xf>
    <xf numFmtId="0" fontId="15" fillId="6" borderId="3" xfId="0" applyFont="1" applyFill="1" applyBorder="1" applyAlignment="1">
      <alignment horizontal="center"/>
    </xf>
    <xf numFmtId="0" fontId="15" fillId="6" borderId="0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19" fillId="6" borderId="2" xfId="0" applyFont="1" applyFill="1" applyBorder="1" applyAlignment="1">
      <alignment horizontal="center"/>
    </xf>
    <xf numFmtId="0" fontId="15" fillId="6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Alignment="1">
      <alignment horizontal="center"/>
    </xf>
    <xf numFmtId="0" fontId="0" fillId="6" borderId="2" xfId="0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</cellXfs>
  <cellStyles count="6">
    <cellStyle name="Accent2" xfId="5" builtinId="33"/>
    <cellStyle name="Accent5" xfId="4" builtinId="45"/>
    <cellStyle name="Calculation" xfId="3" builtinId="22"/>
    <cellStyle name="Currency" xfId="2" builtinId="4"/>
    <cellStyle name="Normal" xfId="0" builtinId="0"/>
    <cellStyle name="Percent" xfId="1" builtinId="5"/>
  </cellStyles>
  <dxfs count="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rgb="FFFA7D00"/>
        <name val="Century Gothic"/>
        <family val="2"/>
        <scheme val="none"/>
      </font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solid">
          <fgColor indexed="64"/>
          <bgColor theme="0" tint="-0.1499984740745262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</border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entury Gothic"/>
        <family val="2"/>
        <scheme val="none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entury Gothic"/>
        <family val="2"/>
        <scheme val="none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entury Gothic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2" tint="-0.749992370372631"/>
        <name val="Century Gothic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  <fill>
        <patternFill patternType="solid">
          <fgColor indexed="64"/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3" formatCode="0%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3" formatCode="0%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3" formatCode="0%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3" formatCode="0%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3" formatCode="0%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3" formatCode="0%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3" formatCode="0%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3" formatCode="0%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3" formatCode="0%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entury Gothic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Table Style 1" pivot="0" count="0" xr9:uid="{25B68658-EBA6-494C-B12E-C7B0AC991CA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>
                <a:latin typeface="Century Gothic" panose="020B0502020202020204" pitchFamily="34" charset="0"/>
              </a:rPr>
              <a:t>Total</a:t>
            </a:r>
            <a:r>
              <a:rPr lang="en-GB" baseline="0">
                <a:latin typeface="Century Gothic" panose="020B0502020202020204" pitchFamily="34" charset="0"/>
              </a:rPr>
              <a:t> a</a:t>
            </a:r>
            <a:r>
              <a:rPr lang="en-GB">
                <a:latin typeface="Century Gothic" panose="020B0502020202020204" pitchFamily="34" charset="0"/>
              </a:rPr>
              <a:t>ttendance</a:t>
            </a:r>
            <a:r>
              <a:rPr lang="en-GB" baseline="0">
                <a:latin typeface="Century Gothic" panose="020B0502020202020204" pitchFamily="34" charset="0"/>
              </a:rPr>
              <a:t> of the student by the end of the year</a:t>
            </a:r>
            <a:endParaRPr lang="en-GB">
              <a:latin typeface="Century Gothic" panose="020B0502020202020204" pitchFamily="34" charset="0"/>
            </a:endParaRPr>
          </a:p>
        </c:rich>
      </c:tx>
      <c:layout>
        <c:manualLayout>
          <c:xMode val="edge"/>
          <c:yMode val="edge"/>
          <c:x val="0.11327841854678283"/>
          <c:y val="8.1169383946934706E-4"/>
        </c:manualLayout>
      </c:layout>
      <c:overlay val="0"/>
      <c:spPr>
        <a:solidFill>
          <a:schemeClr val="accent2"/>
        </a:solidFill>
        <a:ln>
          <a:noFill/>
        </a:ln>
        <a:effectLst>
          <a:outerShdw blurRad="50800" dist="50800" dir="5400000" algn="ctr" rotWithShape="0">
            <a:srgbClr val="000000">
              <a:alpha val="43137"/>
            </a:srgb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607806769892692E-2"/>
          <c:y val="0.24607074918908856"/>
          <c:w val="0.91957276133772003"/>
          <c:h val="0.640194776885885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Link!$C$4</c:f>
              <c:strCache>
                <c:ptCount val="1"/>
                <c:pt idx="0">
                  <c:v>18002136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glow rad="50800">
                <a:srgbClr val="92D050"/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Link!$D$3:$K$3</c:f>
              <c:strCache>
                <c:ptCount val="8"/>
                <c:pt idx="0">
                  <c:v>Business</c:v>
                </c:pt>
                <c:pt idx="1">
                  <c:v>Economics</c:v>
                </c:pt>
                <c:pt idx="2">
                  <c:v>Systems </c:v>
                </c:pt>
                <c:pt idx="3">
                  <c:v>Enterprise</c:v>
                </c:pt>
                <c:pt idx="4">
                  <c:v>Databases</c:v>
                </c:pt>
                <c:pt idx="5">
                  <c:v>Operations</c:v>
                </c:pt>
                <c:pt idx="6">
                  <c:v>Marketing</c:v>
                </c:pt>
                <c:pt idx="7">
                  <c:v>SupplyChain</c:v>
                </c:pt>
              </c:strCache>
            </c:strRef>
          </c:cat>
          <c:val>
            <c:numRef>
              <c:f>Link!$D$4:$K$4</c:f>
              <c:numCache>
                <c:formatCode>0%</c:formatCode>
                <c:ptCount val="8"/>
                <c:pt idx="0">
                  <c:v>0.89</c:v>
                </c:pt>
                <c:pt idx="1">
                  <c:v>0.26</c:v>
                </c:pt>
                <c:pt idx="2">
                  <c:v>0.34</c:v>
                </c:pt>
                <c:pt idx="3">
                  <c:v>0.56999999999999995</c:v>
                </c:pt>
                <c:pt idx="4">
                  <c:v>0.5</c:v>
                </c:pt>
                <c:pt idx="5">
                  <c:v>0.57999999999999996</c:v>
                </c:pt>
                <c:pt idx="6">
                  <c:v>0.56000000000000005</c:v>
                </c:pt>
                <c:pt idx="7">
                  <c:v>0.79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7E-4B02-9353-566386EEFB71}"/>
            </c:ext>
          </c:extLst>
        </c:ser>
        <c:ser>
          <c:idx val="1"/>
          <c:order val="1"/>
          <c:tx>
            <c:strRef>
              <c:f>Link!$C$5</c:f>
              <c:strCache>
                <c:ptCount val="1"/>
                <c:pt idx="0">
                  <c:v>Average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glow rad="50800">
                <a:srgbClr val="7030A0"/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Link!$D$3:$K$3</c:f>
              <c:strCache>
                <c:ptCount val="8"/>
                <c:pt idx="0">
                  <c:v>Business</c:v>
                </c:pt>
                <c:pt idx="1">
                  <c:v>Economics</c:v>
                </c:pt>
                <c:pt idx="2">
                  <c:v>Systems </c:v>
                </c:pt>
                <c:pt idx="3">
                  <c:v>Enterprise</c:v>
                </c:pt>
                <c:pt idx="4">
                  <c:v>Databases</c:v>
                </c:pt>
                <c:pt idx="5">
                  <c:v>Operations</c:v>
                </c:pt>
                <c:pt idx="6">
                  <c:v>Marketing</c:v>
                </c:pt>
                <c:pt idx="7">
                  <c:v>SupplyChain</c:v>
                </c:pt>
              </c:strCache>
            </c:strRef>
          </c:cat>
          <c:val>
            <c:numRef>
              <c:f>Link!$D$5:$K$5</c:f>
              <c:numCache>
                <c:formatCode>0%</c:formatCode>
                <c:ptCount val="8"/>
                <c:pt idx="0">
                  <c:v>0.75200000000000011</c:v>
                </c:pt>
                <c:pt idx="1">
                  <c:v>0.56799999999999995</c:v>
                </c:pt>
                <c:pt idx="2">
                  <c:v>0.66600000000000004</c:v>
                </c:pt>
                <c:pt idx="3">
                  <c:v>0.70200000000000007</c:v>
                </c:pt>
                <c:pt idx="4">
                  <c:v>0.79</c:v>
                </c:pt>
                <c:pt idx="5">
                  <c:v>0.74199999999999988</c:v>
                </c:pt>
                <c:pt idx="6">
                  <c:v>0.73599999999999999</c:v>
                </c:pt>
                <c:pt idx="7">
                  <c:v>0.84000000000000008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7E-4B02-9353-566386EEF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42571424"/>
        <c:axId val="442568472"/>
      </c:barChart>
      <c:catAx>
        <c:axId val="44257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68472"/>
        <c:crosses val="autoZero"/>
        <c:auto val="1"/>
        <c:lblAlgn val="ctr"/>
        <c:lblOffset val="100"/>
        <c:noMultiLvlLbl val="0"/>
      </c:catAx>
      <c:valAx>
        <c:axId val="4425684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7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196074385056987"/>
          <c:y val="2.6972639449480619E-2"/>
          <c:w val="0.24696092656279214"/>
          <c:h val="8.01702819929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chemeClr val="bg1"/>
                </a:solidFill>
              </a:rPr>
              <a:t>Module Grades compaired to Class</a:t>
            </a:r>
          </a:p>
        </c:rich>
      </c:tx>
      <c:layout>
        <c:manualLayout>
          <c:xMode val="edge"/>
          <c:yMode val="edge"/>
          <c:x val="0.13301943115553722"/>
          <c:y val="1.6567396364087016E-2"/>
        </c:manualLayout>
      </c:layout>
      <c:overlay val="0"/>
      <c:spPr>
        <a:solidFill>
          <a:schemeClr val="accent2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304029304029304E-2"/>
          <c:y val="0.18260462340166664"/>
          <c:w val="0.94627594627594624"/>
          <c:h val="0.65773206920563498"/>
        </c:manualLayout>
      </c:layout>
      <c:lineChart>
        <c:grouping val="standard"/>
        <c:varyColors val="0"/>
        <c:ser>
          <c:idx val="0"/>
          <c:order val="0"/>
          <c:tx>
            <c:strRef>
              <c:f>Link!$C$9</c:f>
              <c:strCache>
                <c:ptCount val="1"/>
                <c:pt idx="0">
                  <c:v>18002136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>
              <a:glow rad="63500">
                <a:srgbClr val="7030A0">
                  <a:alpha val="40000"/>
                </a:srgbClr>
              </a:glow>
            </a:effectLst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>
                <a:glow rad="63500">
                  <a:srgbClr val="7030A0">
                    <a:alpha val="40000"/>
                  </a:srgb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Link!$D$8:$K$8</c:f>
              <c:strCache>
                <c:ptCount val="8"/>
                <c:pt idx="0">
                  <c:v>Business</c:v>
                </c:pt>
                <c:pt idx="1">
                  <c:v>Economics</c:v>
                </c:pt>
                <c:pt idx="2">
                  <c:v>Systems </c:v>
                </c:pt>
                <c:pt idx="3">
                  <c:v>Enterprise</c:v>
                </c:pt>
                <c:pt idx="4">
                  <c:v>Databases</c:v>
                </c:pt>
                <c:pt idx="5">
                  <c:v>Operations</c:v>
                </c:pt>
                <c:pt idx="6">
                  <c:v>Marketing</c:v>
                </c:pt>
                <c:pt idx="7">
                  <c:v>SupplyChain</c:v>
                </c:pt>
              </c:strCache>
            </c:strRef>
          </c:cat>
          <c:val>
            <c:numRef>
              <c:f>Link!$D$9:$K$9</c:f>
              <c:numCache>
                <c:formatCode>0</c:formatCode>
                <c:ptCount val="8"/>
                <c:pt idx="0">
                  <c:v>75</c:v>
                </c:pt>
                <c:pt idx="1">
                  <c:v>66</c:v>
                </c:pt>
                <c:pt idx="2">
                  <c:v>54</c:v>
                </c:pt>
                <c:pt idx="3">
                  <c:v>57</c:v>
                </c:pt>
                <c:pt idx="4">
                  <c:v>80</c:v>
                </c:pt>
                <c:pt idx="5">
                  <c:v>85</c:v>
                </c:pt>
                <c:pt idx="6">
                  <c:v>78</c:v>
                </c:pt>
                <c:pt idx="7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F9-4676-A9A4-CDEE0F591A72}"/>
            </c:ext>
          </c:extLst>
        </c:ser>
        <c:ser>
          <c:idx val="1"/>
          <c:order val="1"/>
          <c:tx>
            <c:strRef>
              <c:f>Link!$C$10</c:f>
              <c:strCache>
                <c:ptCount val="1"/>
                <c:pt idx="0">
                  <c:v>Average 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>
              <a:glow rad="63500">
                <a:srgbClr val="7030A0">
                  <a:alpha val="40000"/>
                </a:srgbClr>
              </a:glow>
            </a:effectLst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>
                <a:glow rad="63500">
                  <a:srgbClr val="7030A0">
                    <a:alpha val="40000"/>
                  </a:srgbClr>
                </a:glow>
              </a:effectLst>
            </c:spPr>
          </c:marker>
          <c:dLbls>
            <c:spPr>
              <a:noFill/>
              <a:ln>
                <a:noFill/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Link!$D$8:$K$8</c:f>
              <c:strCache>
                <c:ptCount val="8"/>
                <c:pt idx="0">
                  <c:v>Business</c:v>
                </c:pt>
                <c:pt idx="1">
                  <c:v>Economics</c:v>
                </c:pt>
                <c:pt idx="2">
                  <c:v>Systems </c:v>
                </c:pt>
                <c:pt idx="3">
                  <c:v>Enterprise</c:v>
                </c:pt>
                <c:pt idx="4">
                  <c:v>Databases</c:v>
                </c:pt>
                <c:pt idx="5">
                  <c:v>Operations</c:v>
                </c:pt>
                <c:pt idx="6">
                  <c:v>Marketing</c:v>
                </c:pt>
                <c:pt idx="7">
                  <c:v>SupplyChain</c:v>
                </c:pt>
              </c:strCache>
            </c:strRef>
          </c:cat>
          <c:val>
            <c:numRef>
              <c:f>Link!$D$10:$K$10</c:f>
              <c:numCache>
                <c:formatCode>0</c:formatCode>
                <c:ptCount val="8"/>
                <c:pt idx="0">
                  <c:v>51.8</c:v>
                </c:pt>
                <c:pt idx="1">
                  <c:v>57</c:v>
                </c:pt>
                <c:pt idx="2">
                  <c:v>60.2</c:v>
                </c:pt>
                <c:pt idx="3">
                  <c:v>48</c:v>
                </c:pt>
                <c:pt idx="4">
                  <c:v>56.8</c:v>
                </c:pt>
                <c:pt idx="5">
                  <c:v>61</c:v>
                </c:pt>
                <c:pt idx="6">
                  <c:v>55.6</c:v>
                </c:pt>
                <c:pt idx="7">
                  <c:v>53.4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F9-4676-A9A4-CDEE0F591A7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18497336"/>
        <c:axId val="718491760"/>
      </c:lineChart>
      <c:catAx>
        <c:axId val="718497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91760"/>
        <c:crosses val="autoZero"/>
        <c:auto val="1"/>
        <c:lblAlgn val="ctr"/>
        <c:lblOffset val="100"/>
        <c:noMultiLvlLbl val="0"/>
      </c:catAx>
      <c:valAx>
        <c:axId val="71849176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718497336"/>
        <c:crosses val="autoZero"/>
        <c:crossBetween val="between"/>
      </c:valAx>
      <c:spPr>
        <a:noFill/>
        <a:ln>
          <a:noFill/>
        </a:ln>
        <a:effectLst>
          <a:innerShdw blurRad="114300">
            <a:prstClr val="black"/>
          </a:innerShdw>
        </a:effectLst>
      </c:spPr>
    </c:plotArea>
    <c:legend>
      <c:legendPos val="b"/>
      <c:layout>
        <c:manualLayout>
          <c:xMode val="edge"/>
          <c:yMode val="edge"/>
          <c:x val="0.31824137367444455"/>
          <c:y val="0.92970684786850621"/>
          <c:w val="0.33219808197461342"/>
          <c:h val="5.2651766476360093E-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7030A0"/>
      </a:solidFill>
      <a:round/>
    </a:ln>
    <a:effectLst>
      <a:outerShdw blurRad="76200" dir="13500000" sy="23000" kx="1200000" algn="br" rotWithShape="0">
        <a:prstClr val="black">
          <a:alpha val="2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358705161854769E-2"/>
          <c:y val="7.407407407407407E-2"/>
          <c:w val="0.89019685039370078"/>
          <c:h val="0.8416746864975212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Link!$D$12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tx1"/>
            </a:solidFill>
            <a:effectLst>
              <a:outerShdw blurRad="50800" dist="50800" dir="5400000" algn="ctr" rotWithShape="0">
                <a:srgbClr val="FF0000">
                  <a:alpha val="75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effectLst>
                <a:outerShdw blurRad="50800" dist="38100" dir="18900000" algn="bl" rotWithShape="0">
                  <a:srgbClr val="FF0000">
                    <a:alpha val="69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7BC9-4FFD-A7DF-A80FD454BB04}"/>
              </c:ext>
            </c:extLst>
          </c:dPt>
          <c:cat>
            <c:numRef>
              <c:f>Link!$C$13</c:f>
              <c:numCache>
                <c:formatCode>@</c:formatCode>
                <c:ptCount val="1"/>
                <c:pt idx="0">
                  <c:v>18002136</c:v>
                </c:pt>
              </c:numCache>
            </c:numRef>
          </c:cat>
          <c:val>
            <c:numRef>
              <c:f>Link!$D$13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BC9-4FFD-A7DF-A80FD454BB04}"/>
            </c:ext>
          </c:extLst>
        </c:ser>
        <c:ser>
          <c:idx val="8"/>
          <c:order val="1"/>
          <c:tx>
            <c:strRef>
              <c:f>Link!$E$12</c:f>
              <c:strCache>
                <c:ptCount val="1"/>
                <c:pt idx="0">
                  <c:v>3rd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effectLst>
              <a:outerShdw blurRad="50800" dist="38100" dir="18900000" algn="bl" rotWithShape="0">
                <a:srgbClr val="FFC000">
                  <a:alpha val="78000"/>
                </a:srgbClr>
              </a:outerShdw>
            </a:effectLst>
          </c:spPr>
          <c:invertIfNegative val="0"/>
          <c:cat>
            <c:numRef>
              <c:f>Link!$C$13</c:f>
              <c:numCache>
                <c:formatCode>@</c:formatCode>
                <c:ptCount val="1"/>
                <c:pt idx="0">
                  <c:v>18002136</c:v>
                </c:pt>
              </c:numCache>
            </c:numRef>
          </c:cat>
          <c:val>
            <c:numRef>
              <c:f>Link!$E$13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BC9-4FFD-A7DF-A80FD454BB04}"/>
            </c:ext>
          </c:extLst>
        </c:ser>
        <c:ser>
          <c:idx val="9"/>
          <c:order val="2"/>
          <c:tx>
            <c:strRef>
              <c:f>Link!$F$12</c:f>
              <c:strCache>
                <c:ptCount val="1"/>
                <c:pt idx="0">
                  <c:v>2-2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effectLst>
              <a:outerShdw blurRad="50800" dist="38100" dir="18900000" algn="bl" rotWithShape="0">
                <a:srgbClr val="FFFF00">
                  <a:alpha val="73000"/>
                </a:srgbClr>
              </a:outerShdw>
            </a:effectLst>
          </c:spPr>
          <c:invertIfNegative val="0"/>
          <c:cat>
            <c:numRef>
              <c:f>Link!$C$13</c:f>
              <c:numCache>
                <c:formatCode>@</c:formatCode>
                <c:ptCount val="1"/>
                <c:pt idx="0">
                  <c:v>18002136</c:v>
                </c:pt>
              </c:numCache>
            </c:numRef>
          </c:cat>
          <c:val>
            <c:numRef>
              <c:f>Link!$F$13</c:f>
              <c:numCache>
                <c:formatCode>0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7BC9-4FFD-A7DF-A80FD454BB04}"/>
            </c:ext>
          </c:extLst>
        </c:ser>
        <c:ser>
          <c:idx val="10"/>
          <c:order val="3"/>
          <c:tx>
            <c:strRef>
              <c:f>Link!$G$12</c:f>
              <c:strCache>
                <c:ptCount val="1"/>
                <c:pt idx="0">
                  <c:v>2-1 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effectLst>
              <a:outerShdw blurRad="50800" dist="38100" algn="l" rotWithShape="0">
                <a:srgbClr val="92D050">
                  <a:alpha val="58000"/>
                </a:srgbClr>
              </a:outerShdw>
            </a:effectLst>
          </c:spPr>
          <c:invertIfNegative val="0"/>
          <c:cat>
            <c:numRef>
              <c:f>Link!$C$13</c:f>
              <c:numCache>
                <c:formatCode>@</c:formatCode>
                <c:ptCount val="1"/>
                <c:pt idx="0">
                  <c:v>18002136</c:v>
                </c:pt>
              </c:numCache>
            </c:numRef>
          </c:cat>
          <c:val>
            <c:numRef>
              <c:f>Link!$G$13</c:f>
              <c:numCache>
                <c:formatCode>0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BC9-4FFD-A7DF-A80FD454BB04}"/>
            </c:ext>
          </c:extLst>
        </c:ser>
        <c:ser>
          <c:idx val="11"/>
          <c:order val="4"/>
          <c:tx>
            <c:strRef>
              <c:f>Link!$C$11</c:f>
              <c:strCache>
                <c:ptCount val="1"/>
                <c:pt idx="0">
                  <c:v>Grades Overall Annual Performance (Bullet Chart)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effectLst>
              <a:outerShdw blurRad="50800" dist="38100" algn="l" rotWithShape="0">
                <a:srgbClr val="00B050">
                  <a:alpha val="78000"/>
                </a:srgbClr>
              </a:outerShdw>
            </a:effectLst>
          </c:spPr>
          <c:invertIfNegative val="0"/>
          <c:cat>
            <c:numRef>
              <c:f>Link!$C$13</c:f>
              <c:numCache>
                <c:formatCode>@</c:formatCode>
                <c:ptCount val="1"/>
                <c:pt idx="0">
                  <c:v>18002136</c:v>
                </c:pt>
              </c:numCache>
            </c:numRef>
          </c:cat>
          <c:val>
            <c:numRef>
              <c:f>Link!$H$13</c:f>
              <c:numCache>
                <c:formatCode>0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7BC9-4FFD-A7DF-A80FD454BB04}"/>
            </c:ext>
          </c:extLst>
        </c:ser>
        <c:ser>
          <c:idx val="12"/>
          <c:order val="5"/>
          <c:tx>
            <c:strRef>
              <c:f>Link!$J$12</c:f>
              <c:strCache>
                <c:ptCount val="1"/>
                <c:pt idx="0">
                  <c:v>Grade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numRef>
              <c:f>Link!$C$13</c:f>
              <c:numCache>
                <c:formatCode>@</c:formatCode>
                <c:ptCount val="1"/>
                <c:pt idx="0">
                  <c:v>18002136</c:v>
                </c:pt>
              </c:numCache>
            </c:numRef>
          </c:cat>
          <c:val>
            <c:numRef>
              <c:f>Link!$J$13</c:f>
              <c:numCache>
                <c:formatCode>0</c:formatCode>
                <c:ptCount val="1"/>
                <c:pt idx="0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7BC9-4FFD-A7DF-A80FD454BB04}"/>
            </c:ext>
          </c:extLst>
        </c:ser>
        <c:ser>
          <c:idx val="13"/>
          <c:order val="6"/>
          <c:tx>
            <c:strRef>
              <c:f>Link!$I$12</c:f>
              <c:strCache>
                <c:ptCount val="1"/>
                <c:pt idx="0">
                  <c:v>Average  </c:v>
                </c:pt>
              </c:strCache>
            </c:strRef>
          </c:tx>
          <c:spPr>
            <a:ln>
              <a:noFill/>
            </a:ln>
          </c:spPr>
          <c:invertIfNegative val="0"/>
          <c:cat>
            <c:numRef>
              <c:f>Link!$C$13</c:f>
              <c:numCache>
                <c:formatCode>@</c:formatCode>
                <c:ptCount val="1"/>
                <c:pt idx="0">
                  <c:v>18002136</c:v>
                </c:pt>
              </c:numCache>
            </c:numRef>
          </c:cat>
          <c:val>
            <c:numRef>
              <c:f>Link!$I$13</c:f>
              <c:numCache>
                <c:formatCode>0</c:formatCode>
                <c:ptCount val="1"/>
                <c:pt idx="0">
                  <c:v>55.475000000000001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7BC9-4FFD-A7DF-A80FD454BB04}"/>
            </c:ext>
          </c:extLst>
        </c:ser>
        <c:ser>
          <c:idx val="0"/>
          <c:order val="7"/>
          <c:tx>
            <c:strRef>
              <c:f>Link!$D$12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Link!$C$13</c:f>
              <c:numCache>
                <c:formatCode>@</c:formatCode>
                <c:ptCount val="1"/>
                <c:pt idx="0">
                  <c:v>18002136</c:v>
                </c:pt>
              </c:numCache>
            </c:numRef>
          </c:cat>
          <c:val>
            <c:numRef>
              <c:f>Link!$D$13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C9-4FFD-A7DF-A80FD454BB04}"/>
            </c:ext>
          </c:extLst>
        </c:ser>
        <c:ser>
          <c:idx val="1"/>
          <c:order val="8"/>
          <c:tx>
            <c:strRef>
              <c:f>Link!$E$12</c:f>
              <c:strCache>
                <c:ptCount val="1"/>
                <c:pt idx="0">
                  <c:v>3rd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Link!$C$13</c:f>
              <c:numCache>
                <c:formatCode>@</c:formatCode>
                <c:ptCount val="1"/>
                <c:pt idx="0">
                  <c:v>18002136</c:v>
                </c:pt>
              </c:numCache>
            </c:numRef>
          </c:cat>
          <c:val>
            <c:numRef>
              <c:f>Link!$E$13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BC9-4FFD-A7DF-A80FD454BB04}"/>
            </c:ext>
          </c:extLst>
        </c:ser>
        <c:ser>
          <c:idx val="2"/>
          <c:order val="9"/>
          <c:tx>
            <c:strRef>
              <c:f>Link!$F$12</c:f>
              <c:strCache>
                <c:ptCount val="1"/>
                <c:pt idx="0">
                  <c:v>2-2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numRef>
              <c:f>Link!$C$13</c:f>
              <c:numCache>
                <c:formatCode>@</c:formatCode>
                <c:ptCount val="1"/>
                <c:pt idx="0">
                  <c:v>18002136</c:v>
                </c:pt>
              </c:numCache>
            </c:numRef>
          </c:cat>
          <c:val>
            <c:numRef>
              <c:f>Link!$F$13</c:f>
              <c:numCache>
                <c:formatCode>0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BC9-4FFD-A7DF-A80FD454BB04}"/>
            </c:ext>
          </c:extLst>
        </c:ser>
        <c:ser>
          <c:idx val="3"/>
          <c:order val="10"/>
          <c:tx>
            <c:strRef>
              <c:f>Link!$G$12</c:f>
              <c:strCache>
                <c:ptCount val="1"/>
                <c:pt idx="0">
                  <c:v>2-1 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Link!$C$13</c:f>
              <c:numCache>
                <c:formatCode>@</c:formatCode>
                <c:ptCount val="1"/>
                <c:pt idx="0">
                  <c:v>18002136</c:v>
                </c:pt>
              </c:numCache>
            </c:numRef>
          </c:cat>
          <c:val>
            <c:numRef>
              <c:f>Link!$G$13</c:f>
              <c:numCache>
                <c:formatCode>0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BC9-4FFD-A7DF-A80FD454BB04}"/>
            </c:ext>
          </c:extLst>
        </c:ser>
        <c:ser>
          <c:idx val="4"/>
          <c:order val="11"/>
          <c:tx>
            <c:strRef>
              <c:f>Link!$C$11</c:f>
              <c:strCache>
                <c:ptCount val="1"/>
                <c:pt idx="0">
                  <c:v>Grades Overall Annual Performance (Bullet Chart)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Link!$C$13</c:f>
              <c:numCache>
                <c:formatCode>@</c:formatCode>
                <c:ptCount val="1"/>
                <c:pt idx="0">
                  <c:v>18002136</c:v>
                </c:pt>
              </c:numCache>
            </c:numRef>
          </c:cat>
          <c:val>
            <c:numRef>
              <c:f>Link!$H$13</c:f>
              <c:numCache>
                <c:formatCode>0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BC9-4FFD-A7DF-A80FD454B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4"/>
        <c:overlap val="100"/>
        <c:axId val="622936472"/>
        <c:axId val="622936144"/>
      </c:barChart>
      <c:barChart>
        <c:barDir val="col"/>
        <c:grouping val="clustered"/>
        <c:varyColors val="0"/>
        <c:ser>
          <c:idx val="6"/>
          <c:order val="13"/>
          <c:tx>
            <c:strRef>
              <c:f>Link!$J$12</c:f>
              <c:strCache>
                <c:ptCount val="1"/>
                <c:pt idx="0">
                  <c:v>Grade</c:v>
                </c:pt>
              </c:strCache>
            </c:strRef>
          </c:tx>
          <c:spPr>
            <a:blipFill>
              <a:blip xmlns:r="http://schemas.openxmlformats.org/officeDocument/2006/relationships" r:embed="rId1"/>
              <a:tile tx="0" ty="0" sx="100000" sy="100000" flip="none" algn="tl"/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7BC9-4FFD-A7DF-A80FD454BB04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2000" b="1" i="0" u="none" strike="noStrike" kern="1200" baseline="0">
                        <a:solidFill>
                          <a:schemeClr val="tx1"/>
                        </a:solidFill>
                        <a:latin typeface="Century Gothic" panose="020B0502020202020204" pitchFamily="34" charset="0"/>
                        <a:ea typeface="+mn-ea"/>
                        <a:cs typeface="+mn-cs"/>
                      </a:defRPr>
                    </a:pPr>
                    <a:fld id="{C840B091-ECC3-4F93-A467-24F2D59966C9}" type="VALUE">
                      <a:rPr lang="en-US" sz="2000">
                        <a:solidFill>
                          <a:schemeClr val="tx1"/>
                        </a:solidFill>
                      </a:rPr>
                      <a:pPr>
                        <a:defRPr sz="2000" b="1" i="0" u="none" strike="noStrike" kern="1200" baseline="0">
                          <a:solidFill>
                            <a:schemeClr val="tx1"/>
                          </a:solidFill>
                          <a:latin typeface="Century Gothic" panose="020B0502020202020204" pitchFamily="34" charset="0"/>
                          <a:ea typeface="+mn-ea"/>
                          <a:cs typeface="+mn-cs"/>
                        </a:defRPr>
                      </a:pPr>
                      <a:t>[VALUE]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4-7BC9-4FFD-A7DF-A80FD454BB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Link!$C$13</c:f>
              <c:numCache>
                <c:formatCode>@</c:formatCode>
                <c:ptCount val="1"/>
                <c:pt idx="0">
                  <c:v>18002136</c:v>
                </c:pt>
              </c:numCache>
            </c:numRef>
          </c:cat>
          <c:val>
            <c:numRef>
              <c:f>Link!$J$13</c:f>
              <c:numCache>
                <c:formatCode>0</c:formatCode>
                <c:ptCount val="1"/>
                <c:pt idx="0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BC9-4FFD-A7DF-A80FD454B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725815800"/>
        <c:axId val="725815144"/>
      </c:barChart>
      <c:lineChart>
        <c:grouping val="standard"/>
        <c:varyColors val="0"/>
        <c:ser>
          <c:idx val="5"/>
          <c:order val="12"/>
          <c:tx>
            <c:strRef>
              <c:f>Link!$I$12</c:f>
              <c:strCache>
                <c:ptCount val="1"/>
                <c:pt idx="0">
                  <c:v>Average  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44"/>
            <c:spPr>
              <a:pattFill prst="pct90">
                <a:fgClr>
                  <a:schemeClr val="tx1"/>
                </a:fgClr>
                <a:bgClr>
                  <a:schemeClr val="bg1"/>
                </a:bgClr>
              </a:patt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dash"/>
              <c:size val="63"/>
              <c:spPr>
                <a:solidFill>
                  <a:srgbClr val="FF0000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7BC9-4FFD-A7DF-A80FD454BB04}"/>
              </c:ext>
            </c:extLst>
          </c:dPt>
          <c:dLbls>
            <c:dLbl>
              <c:idx val="0"/>
              <c:layout>
                <c:manualLayout>
                  <c:x val="-0.4772156174909486"/>
                  <c:y val="-2.028152675500756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BC9-4FFD-A7DF-A80FD454BB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Link!$C$13</c:f>
              <c:numCache>
                <c:formatCode>@</c:formatCode>
                <c:ptCount val="1"/>
                <c:pt idx="0">
                  <c:v>18002136</c:v>
                </c:pt>
              </c:numCache>
            </c:numRef>
          </c:cat>
          <c:val>
            <c:numRef>
              <c:f>Link!$I$13</c:f>
              <c:numCache>
                <c:formatCode>0</c:formatCode>
                <c:ptCount val="1"/>
                <c:pt idx="0">
                  <c:v>55.475000000000001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BC9-4FFD-A7DF-A80FD454B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815800"/>
        <c:axId val="725815144"/>
      </c:lineChart>
      <c:catAx>
        <c:axId val="622936472"/>
        <c:scaling>
          <c:orientation val="minMax"/>
        </c:scaling>
        <c:delete val="0"/>
        <c:axPos val="b"/>
        <c:numFmt formatCode="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622936144"/>
        <c:crosses val="autoZero"/>
        <c:auto val="1"/>
        <c:lblAlgn val="ctr"/>
        <c:lblOffset val="100"/>
        <c:noMultiLvlLbl val="0"/>
      </c:catAx>
      <c:valAx>
        <c:axId val="62293614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936472"/>
        <c:crosses val="autoZero"/>
        <c:crossBetween val="between"/>
      </c:valAx>
      <c:valAx>
        <c:axId val="725815144"/>
        <c:scaling>
          <c:orientation val="minMax"/>
          <c:max val="1.2"/>
        </c:scaling>
        <c:delete val="1"/>
        <c:axPos val="r"/>
        <c:numFmt formatCode="0" sourceLinked="1"/>
        <c:majorTickMark val="out"/>
        <c:minorTickMark val="none"/>
        <c:tickLblPos val="nextTo"/>
        <c:crossAx val="725815800"/>
        <c:crosses val="max"/>
        <c:crossBetween val="between"/>
      </c:valAx>
      <c:catAx>
        <c:axId val="725815800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extTo"/>
        <c:crossAx val="725815144"/>
        <c:crosses val="autoZero"/>
        <c:auto val="1"/>
        <c:lblAlgn val="ctr"/>
        <c:lblOffset val="100"/>
        <c:noMultiLvlLbl val="0"/>
      </c:catAx>
      <c:spPr>
        <a:noFill/>
        <a:ln>
          <a:solidFill>
            <a:srgbClr val="7030A0"/>
          </a:solidFill>
        </a:ln>
        <a:effectLst>
          <a:outerShdw blurRad="50800" dist="50800" dir="5400000" algn="ctr" rotWithShape="0">
            <a:srgbClr val="7030A0"/>
          </a:outerShdw>
        </a:effectLst>
      </c:spPr>
    </c:plotArea>
    <c:plotVisOnly val="1"/>
    <c:dispBlanksAs val="gap"/>
    <c:showDLblsOverMax val="0"/>
    <c:extLst/>
  </c:chart>
  <c:spPr>
    <a:noFill/>
    <a:ln>
      <a:noFill/>
    </a:ln>
    <a:effectLst>
      <a:outerShdw blurRad="50800" dist="38100" dir="8100000" algn="tr" rotWithShape="0">
        <a:srgbClr val="7030A0">
          <a:alpha val="77000"/>
        </a:srgb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Link!$C$4</c:f>
              <c:strCache>
                <c:ptCount val="1"/>
                <c:pt idx="0">
                  <c:v>18002136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Link!$D$3:$L$3</c:f>
              <c:strCache>
                <c:ptCount val="9"/>
                <c:pt idx="0">
                  <c:v>Business</c:v>
                </c:pt>
                <c:pt idx="1">
                  <c:v>Economics</c:v>
                </c:pt>
                <c:pt idx="2">
                  <c:v>Systems </c:v>
                </c:pt>
                <c:pt idx="3">
                  <c:v>Enterprise</c:v>
                </c:pt>
                <c:pt idx="4">
                  <c:v>Databases</c:v>
                </c:pt>
                <c:pt idx="5">
                  <c:v>Operations</c:v>
                </c:pt>
                <c:pt idx="6">
                  <c:v>Marketing</c:v>
                </c:pt>
                <c:pt idx="7">
                  <c:v>SupplyChain</c:v>
                </c:pt>
                <c:pt idx="8">
                  <c:v>Library </c:v>
                </c:pt>
              </c:strCache>
            </c:strRef>
          </c:cat>
          <c:val>
            <c:numRef>
              <c:f>Link!$D$4:$L$4</c:f>
              <c:numCache>
                <c:formatCode>0%</c:formatCode>
                <c:ptCount val="9"/>
                <c:pt idx="0">
                  <c:v>0.89</c:v>
                </c:pt>
                <c:pt idx="1">
                  <c:v>0.26</c:v>
                </c:pt>
                <c:pt idx="2">
                  <c:v>0.34</c:v>
                </c:pt>
                <c:pt idx="3">
                  <c:v>0.56999999999999995</c:v>
                </c:pt>
                <c:pt idx="4">
                  <c:v>0.5</c:v>
                </c:pt>
                <c:pt idx="5">
                  <c:v>0.57999999999999996</c:v>
                </c:pt>
                <c:pt idx="6">
                  <c:v>0.56000000000000005</c:v>
                </c:pt>
                <c:pt idx="7">
                  <c:v>0.79</c:v>
                </c:pt>
                <c:pt idx="8">
                  <c:v>0.77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4-4222-9047-54479FA497D5}"/>
            </c:ext>
          </c:extLst>
        </c:ser>
        <c:ser>
          <c:idx val="1"/>
          <c:order val="1"/>
          <c:tx>
            <c:strRef>
              <c:f>Link!$C$5</c:f>
              <c:strCache>
                <c:ptCount val="1"/>
                <c:pt idx="0">
                  <c:v>Average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Link!$D$3:$L$3</c:f>
              <c:strCache>
                <c:ptCount val="9"/>
                <c:pt idx="0">
                  <c:v>Business</c:v>
                </c:pt>
                <c:pt idx="1">
                  <c:v>Economics</c:v>
                </c:pt>
                <c:pt idx="2">
                  <c:v>Systems </c:v>
                </c:pt>
                <c:pt idx="3">
                  <c:v>Enterprise</c:v>
                </c:pt>
                <c:pt idx="4">
                  <c:v>Databases</c:v>
                </c:pt>
                <c:pt idx="5">
                  <c:v>Operations</c:v>
                </c:pt>
                <c:pt idx="6">
                  <c:v>Marketing</c:v>
                </c:pt>
                <c:pt idx="7">
                  <c:v>SupplyChain</c:v>
                </c:pt>
                <c:pt idx="8">
                  <c:v>Library </c:v>
                </c:pt>
              </c:strCache>
            </c:strRef>
          </c:cat>
          <c:val>
            <c:numRef>
              <c:f>Link!$D$5:$L$5</c:f>
              <c:numCache>
                <c:formatCode>0%</c:formatCode>
                <c:ptCount val="9"/>
                <c:pt idx="0">
                  <c:v>0.75200000000000011</c:v>
                </c:pt>
                <c:pt idx="1">
                  <c:v>0.56799999999999995</c:v>
                </c:pt>
                <c:pt idx="2">
                  <c:v>0.66600000000000004</c:v>
                </c:pt>
                <c:pt idx="3">
                  <c:v>0.70200000000000007</c:v>
                </c:pt>
                <c:pt idx="4">
                  <c:v>0.79</c:v>
                </c:pt>
                <c:pt idx="5">
                  <c:v>0.74199999999999988</c:v>
                </c:pt>
                <c:pt idx="6">
                  <c:v>0.73599999999999999</c:v>
                </c:pt>
                <c:pt idx="7">
                  <c:v>0.84000000000000008</c:v>
                </c:pt>
                <c:pt idx="8">
                  <c:v>0.56200000000000006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B4-4222-9047-54479FA49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42571424"/>
        <c:axId val="442568472"/>
      </c:barChart>
      <c:catAx>
        <c:axId val="44257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68472"/>
        <c:crosses val="autoZero"/>
        <c:auto val="1"/>
        <c:lblAlgn val="ctr"/>
        <c:lblOffset val="100"/>
        <c:noMultiLvlLbl val="0"/>
      </c:catAx>
      <c:valAx>
        <c:axId val="4425684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7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Module Grades compaired to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Link!$C$9</c:f>
              <c:strCache>
                <c:ptCount val="1"/>
                <c:pt idx="0">
                  <c:v>18002136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Link!$D$8:$K$8</c:f>
              <c:strCache>
                <c:ptCount val="8"/>
                <c:pt idx="0">
                  <c:v>Business</c:v>
                </c:pt>
                <c:pt idx="1">
                  <c:v>Economics</c:v>
                </c:pt>
                <c:pt idx="2">
                  <c:v>Systems </c:v>
                </c:pt>
                <c:pt idx="3">
                  <c:v>Enterprise</c:v>
                </c:pt>
                <c:pt idx="4">
                  <c:v>Databases</c:v>
                </c:pt>
                <c:pt idx="5">
                  <c:v>Operations</c:v>
                </c:pt>
                <c:pt idx="6">
                  <c:v>Marketing</c:v>
                </c:pt>
                <c:pt idx="7">
                  <c:v>SupplyChain</c:v>
                </c:pt>
              </c:strCache>
            </c:strRef>
          </c:cat>
          <c:val>
            <c:numRef>
              <c:f>Link!$D$9:$K$9</c:f>
              <c:numCache>
                <c:formatCode>0</c:formatCode>
                <c:ptCount val="8"/>
                <c:pt idx="0">
                  <c:v>75</c:v>
                </c:pt>
                <c:pt idx="1">
                  <c:v>66</c:v>
                </c:pt>
                <c:pt idx="2">
                  <c:v>54</c:v>
                </c:pt>
                <c:pt idx="3">
                  <c:v>57</c:v>
                </c:pt>
                <c:pt idx="4">
                  <c:v>80</c:v>
                </c:pt>
                <c:pt idx="5">
                  <c:v>85</c:v>
                </c:pt>
                <c:pt idx="6">
                  <c:v>78</c:v>
                </c:pt>
                <c:pt idx="7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18-4B5F-BCD0-22562397FED7}"/>
            </c:ext>
          </c:extLst>
        </c:ser>
        <c:ser>
          <c:idx val="1"/>
          <c:order val="1"/>
          <c:tx>
            <c:strRef>
              <c:f>Link!$C$10</c:f>
              <c:strCache>
                <c:ptCount val="1"/>
                <c:pt idx="0">
                  <c:v>Average 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Link!$D$8:$K$8</c:f>
              <c:strCache>
                <c:ptCount val="8"/>
                <c:pt idx="0">
                  <c:v>Business</c:v>
                </c:pt>
                <c:pt idx="1">
                  <c:v>Economics</c:v>
                </c:pt>
                <c:pt idx="2">
                  <c:v>Systems </c:v>
                </c:pt>
                <c:pt idx="3">
                  <c:v>Enterprise</c:v>
                </c:pt>
                <c:pt idx="4">
                  <c:v>Databases</c:v>
                </c:pt>
                <c:pt idx="5">
                  <c:v>Operations</c:v>
                </c:pt>
                <c:pt idx="6">
                  <c:v>Marketing</c:v>
                </c:pt>
                <c:pt idx="7">
                  <c:v>SupplyChain</c:v>
                </c:pt>
              </c:strCache>
            </c:strRef>
          </c:cat>
          <c:val>
            <c:numRef>
              <c:f>Link!$D$10:$K$10</c:f>
              <c:numCache>
                <c:formatCode>0</c:formatCode>
                <c:ptCount val="8"/>
                <c:pt idx="0">
                  <c:v>51.8</c:v>
                </c:pt>
                <c:pt idx="1">
                  <c:v>57</c:v>
                </c:pt>
                <c:pt idx="2">
                  <c:v>60.2</c:v>
                </c:pt>
                <c:pt idx="3">
                  <c:v>48</c:v>
                </c:pt>
                <c:pt idx="4">
                  <c:v>56.8</c:v>
                </c:pt>
                <c:pt idx="5">
                  <c:v>61</c:v>
                </c:pt>
                <c:pt idx="6">
                  <c:v>55.6</c:v>
                </c:pt>
                <c:pt idx="7">
                  <c:v>53.4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18-4B5F-BCD0-22562397F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8497336"/>
        <c:axId val="718491760"/>
      </c:lineChart>
      <c:catAx>
        <c:axId val="7184973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91760"/>
        <c:crosses val="autoZero"/>
        <c:auto val="1"/>
        <c:lblAlgn val="ctr"/>
        <c:lblOffset val="100"/>
        <c:noMultiLvlLbl val="0"/>
      </c:catAx>
      <c:valAx>
        <c:axId val="71849176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97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358705161854769E-2"/>
          <c:y val="7.407407407407407E-2"/>
          <c:w val="0.89019685039370078"/>
          <c:h val="0.84167468649752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Link!$D$12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Link!$C$13</c:f>
              <c:numCache>
                <c:formatCode>@</c:formatCode>
                <c:ptCount val="1"/>
                <c:pt idx="0">
                  <c:v>18002136</c:v>
                </c:pt>
              </c:numCache>
            </c:numRef>
          </c:cat>
          <c:val>
            <c:numRef>
              <c:f>Link!$D$13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29-4B11-8259-A72124EE3A3F}"/>
            </c:ext>
          </c:extLst>
        </c:ser>
        <c:ser>
          <c:idx val="1"/>
          <c:order val="1"/>
          <c:tx>
            <c:strRef>
              <c:f>Link!$E$12</c:f>
              <c:strCache>
                <c:ptCount val="1"/>
                <c:pt idx="0">
                  <c:v>3rd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Link!$C$13</c:f>
              <c:numCache>
                <c:formatCode>@</c:formatCode>
                <c:ptCount val="1"/>
                <c:pt idx="0">
                  <c:v>18002136</c:v>
                </c:pt>
              </c:numCache>
            </c:numRef>
          </c:cat>
          <c:val>
            <c:numRef>
              <c:f>Link!$E$13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29-4B11-8259-A72124EE3A3F}"/>
            </c:ext>
          </c:extLst>
        </c:ser>
        <c:ser>
          <c:idx val="2"/>
          <c:order val="2"/>
          <c:tx>
            <c:strRef>
              <c:f>Link!$F$12</c:f>
              <c:strCache>
                <c:ptCount val="1"/>
                <c:pt idx="0">
                  <c:v>2-2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numRef>
              <c:f>Link!$C$13</c:f>
              <c:numCache>
                <c:formatCode>@</c:formatCode>
                <c:ptCount val="1"/>
                <c:pt idx="0">
                  <c:v>18002136</c:v>
                </c:pt>
              </c:numCache>
            </c:numRef>
          </c:cat>
          <c:val>
            <c:numRef>
              <c:f>Link!$F$13</c:f>
              <c:numCache>
                <c:formatCode>0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29-4B11-8259-A72124EE3A3F}"/>
            </c:ext>
          </c:extLst>
        </c:ser>
        <c:ser>
          <c:idx val="3"/>
          <c:order val="3"/>
          <c:tx>
            <c:strRef>
              <c:f>Link!$G$12</c:f>
              <c:strCache>
                <c:ptCount val="1"/>
                <c:pt idx="0">
                  <c:v>2-1 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Link!$C$13</c:f>
              <c:numCache>
                <c:formatCode>@</c:formatCode>
                <c:ptCount val="1"/>
                <c:pt idx="0">
                  <c:v>18002136</c:v>
                </c:pt>
              </c:numCache>
            </c:numRef>
          </c:cat>
          <c:val>
            <c:numRef>
              <c:f>Link!$G$13</c:f>
              <c:numCache>
                <c:formatCode>0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29-4B11-8259-A72124EE3A3F}"/>
            </c:ext>
          </c:extLst>
        </c:ser>
        <c:ser>
          <c:idx val="4"/>
          <c:order val="4"/>
          <c:tx>
            <c:strRef>
              <c:f>Link!$H$12</c:f>
              <c:strCache>
                <c:ptCount val="1"/>
                <c:pt idx="0">
                  <c:v>First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Link!$C$13</c:f>
              <c:numCache>
                <c:formatCode>@</c:formatCode>
                <c:ptCount val="1"/>
                <c:pt idx="0">
                  <c:v>18002136</c:v>
                </c:pt>
              </c:numCache>
            </c:numRef>
          </c:cat>
          <c:val>
            <c:numRef>
              <c:f>Link!$H$13</c:f>
              <c:numCache>
                <c:formatCode>0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29-4B11-8259-A72124EE3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4"/>
        <c:overlap val="100"/>
        <c:axId val="622936472"/>
        <c:axId val="622936144"/>
      </c:barChart>
      <c:barChart>
        <c:barDir val="col"/>
        <c:grouping val="clustered"/>
        <c:varyColors val="0"/>
        <c:ser>
          <c:idx val="6"/>
          <c:order val="6"/>
          <c:tx>
            <c:strRef>
              <c:f>Link!$J$12</c:f>
              <c:strCache>
                <c:ptCount val="1"/>
                <c:pt idx="0">
                  <c:v>Grade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8128677994198095"/>
                  <c:y val="5.291005291005284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entury Gothic" panose="020B0502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368421052631578"/>
                      <c:h val="8.365093252232359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0A29-4B11-8259-A72124EE3A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Link!$C$13</c:f>
              <c:numCache>
                <c:formatCode>@</c:formatCode>
                <c:ptCount val="1"/>
                <c:pt idx="0">
                  <c:v>18002136</c:v>
                </c:pt>
              </c:numCache>
            </c:numRef>
          </c:cat>
          <c:val>
            <c:numRef>
              <c:f>Link!$J$13</c:f>
              <c:numCache>
                <c:formatCode>0</c:formatCode>
                <c:ptCount val="1"/>
                <c:pt idx="0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29-4B11-8259-A72124EE3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725815800"/>
        <c:axId val="725815144"/>
      </c:barChart>
      <c:lineChart>
        <c:grouping val="standard"/>
        <c:varyColors val="0"/>
        <c:ser>
          <c:idx val="5"/>
          <c:order val="5"/>
          <c:tx>
            <c:strRef>
              <c:f>Link!$I$12</c:f>
              <c:strCache>
                <c:ptCount val="1"/>
                <c:pt idx="0">
                  <c:v>Average  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44"/>
            <c:spPr>
              <a:solidFill>
                <a:schemeClr val="tx1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dash"/>
              <c:size val="34"/>
              <c:spPr>
                <a:solidFill>
                  <a:schemeClr val="tx1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0A29-4B11-8259-A72124EE3A3F}"/>
              </c:ext>
            </c:extLst>
          </c:dPt>
          <c:dLbls>
            <c:dLbl>
              <c:idx val="0"/>
              <c:layout>
                <c:manualLayout>
                  <c:x val="-0.34502923976608185"/>
                  <c:y val="-3.527336860670258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29-4B11-8259-A72124EE3A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Link!$C$13</c:f>
              <c:numCache>
                <c:formatCode>@</c:formatCode>
                <c:ptCount val="1"/>
                <c:pt idx="0">
                  <c:v>18002136</c:v>
                </c:pt>
              </c:numCache>
            </c:numRef>
          </c:cat>
          <c:val>
            <c:numRef>
              <c:f>Link!$I$13</c:f>
              <c:numCache>
                <c:formatCode>0</c:formatCode>
                <c:ptCount val="1"/>
                <c:pt idx="0">
                  <c:v>55.475000000000001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A29-4B11-8259-A72124EE3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815800"/>
        <c:axId val="725815144"/>
      </c:lineChart>
      <c:catAx>
        <c:axId val="622936472"/>
        <c:scaling>
          <c:orientation val="minMax"/>
        </c:scaling>
        <c:delete val="0"/>
        <c:axPos val="b"/>
        <c:numFmt formatCode="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936144"/>
        <c:crosses val="autoZero"/>
        <c:auto val="1"/>
        <c:lblAlgn val="ctr"/>
        <c:lblOffset val="100"/>
        <c:noMultiLvlLbl val="0"/>
      </c:catAx>
      <c:valAx>
        <c:axId val="62293614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936472"/>
        <c:crosses val="autoZero"/>
        <c:crossBetween val="between"/>
      </c:valAx>
      <c:valAx>
        <c:axId val="725815144"/>
        <c:scaling>
          <c:orientation val="minMax"/>
          <c:max val="1.2"/>
        </c:scaling>
        <c:delete val="1"/>
        <c:axPos val="r"/>
        <c:numFmt formatCode="0" sourceLinked="1"/>
        <c:majorTickMark val="out"/>
        <c:minorTickMark val="none"/>
        <c:tickLblPos val="nextTo"/>
        <c:crossAx val="725815800"/>
        <c:crosses val="max"/>
        <c:crossBetween val="between"/>
      </c:valAx>
      <c:catAx>
        <c:axId val="725815800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extTo"/>
        <c:crossAx val="7258151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284109</xdr:colOff>
      <xdr:row>0</xdr:row>
      <xdr:rowOff>162697</xdr:rowOff>
    </xdr:from>
    <xdr:to>
      <xdr:col>23</xdr:col>
      <xdr:colOff>434912</xdr:colOff>
      <xdr:row>5</xdr:row>
      <xdr:rowOff>27082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EEDAB77-947A-42BA-BDFE-C50B309DF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45136" y="162697"/>
          <a:ext cx="1981045" cy="825844"/>
        </a:xfrm>
        <a:prstGeom prst="rect">
          <a:avLst/>
        </a:prstGeom>
      </xdr:spPr>
    </xdr:pic>
    <xdr:clientData/>
  </xdr:twoCellAnchor>
  <xdr:twoCellAnchor>
    <xdr:from>
      <xdr:col>11</xdr:col>
      <xdr:colOff>281049</xdr:colOff>
      <xdr:row>1</xdr:row>
      <xdr:rowOff>88620</xdr:rowOff>
    </xdr:from>
    <xdr:to>
      <xdr:col>20</xdr:col>
      <xdr:colOff>42979</xdr:colOff>
      <xdr:row>11</xdr:row>
      <xdr:rowOff>90800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73445B7-36C4-4669-944D-DD96465AB5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164756</xdr:colOff>
      <xdr:row>16</xdr:row>
      <xdr:rowOff>226540</xdr:rowOff>
    </xdr:from>
    <xdr:to>
      <xdr:col>24</xdr:col>
      <xdr:colOff>89227</xdr:colOff>
      <xdr:row>32</xdr:row>
      <xdr:rowOff>16274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2DBA3CE-20C5-4EDD-9376-815BF8609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264570</xdr:colOff>
      <xdr:row>9</xdr:row>
      <xdr:rowOff>142788</xdr:rowOff>
    </xdr:from>
    <xdr:to>
      <xdr:col>10</xdr:col>
      <xdr:colOff>454163</xdr:colOff>
      <xdr:row>33</xdr:row>
      <xdr:rowOff>92401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453237F-10F1-42A8-84EA-1FDBEDDA3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276122</xdr:colOff>
      <xdr:row>5</xdr:row>
      <xdr:rowOff>127326</xdr:rowOff>
    </xdr:from>
    <xdr:to>
      <xdr:col>10</xdr:col>
      <xdr:colOff>390422</xdr:colOff>
      <xdr:row>8</xdr:row>
      <xdr:rowOff>189093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2E7FFC8-68AC-4432-A73A-3DA2D342A932}"/>
            </a:ext>
          </a:extLst>
        </xdr:cNvPr>
        <xdr:cNvSpPr txBox="1"/>
      </xdr:nvSpPr>
      <xdr:spPr>
        <a:xfrm>
          <a:off x="4436230" y="1084975"/>
          <a:ext cx="2544462" cy="710496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 b="1">
              <a:solidFill>
                <a:schemeClr val="bg1"/>
              </a:solidFill>
              <a:latin typeface="Century Gothic" panose="020B0502020202020204" pitchFamily="34" charset="0"/>
            </a:rPr>
            <a:t>Overall Annual Grade Compaired to Class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1255395</xdr:colOff>
      <xdr:row>0</xdr:row>
      <xdr:rowOff>381000</xdr:rowOff>
    </xdr:from>
    <xdr:to>
      <xdr:col>17</xdr:col>
      <xdr:colOff>226695</xdr:colOff>
      <xdr:row>15</xdr:row>
      <xdr:rowOff>169545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F683D9-8BF2-4ACA-A0EB-70C0B8D3FA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1600200</xdr:colOff>
      <xdr:row>17</xdr:row>
      <xdr:rowOff>3810</xdr:rowOff>
    </xdr:from>
    <xdr:to>
      <xdr:col>17</xdr:col>
      <xdr:colOff>571500</xdr:colOff>
      <xdr:row>32</xdr:row>
      <xdr:rowOff>72390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E2A8F06-072D-4B0E-BF37-E519BAC027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30480</xdr:colOff>
      <xdr:row>11</xdr:row>
      <xdr:rowOff>53340</xdr:rowOff>
    </xdr:from>
    <xdr:to>
      <xdr:col>13</xdr:col>
      <xdr:colOff>1257300</xdr:colOff>
      <xdr:row>29</xdr:row>
      <xdr:rowOff>118110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2B6788BB-ABFA-4617-AAE4-763F423B09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3A72734-D293-4645-A1D7-19EAB014E3E5}" name="Attendance" displayName="Attendance" ref="A8:J13" totalsRowShown="0" headerRowDxfId="96" dataDxfId="95" tableBorderDxfId="94" headerRowCellStyle="Accent5">
  <autoFilter ref="A8:J13" xr:uid="{4013844D-949D-434C-88AB-5CE1708CBC58}"/>
  <tableColumns count="10">
    <tableColumn id="1" xr3:uid="{D72D5621-477D-4070-A167-7CE020ACDD13}" name="Student ID" dataDxfId="93"/>
    <tableColumn id="2" xr3:uid="{7A1DB725-BCBE-4D80-B22E-96DCA5267179}" name="Business" dataDxfId="92" dataCellStyle="Percent"/>
    <tableColumn id="3" xr3:uid="{B3FBFE58-388B-4AC7-9BCC-FF1A9793D21A}" name="Economics" dataDxfId="91" dataCellStyle="Percent"/>
    <tableColumn id="4" xr3:uid="{4E201554-913B-4328-A683-36A9D7EACB67}" name="Systems " dataDxfId="90" dataCellStyle="Percent"/>
    <tableColumn id="5" xr3:uid="{377416D1-EAF9-4BF7-A76D-CD37AF1BCA91}" name="Enterprise" dataDxfId="89" dataCellStyle="Percent"/>
    <tableColumn id="6" xr3:uid="{7B6F79A4-CFAD-4687-97D5-F19C5067C047}" name="Databases" dataDxfId="88" dataCellStyle="Percent"/>
    <tableColumn id="7" xr3:uid="{FF6A092D-E5CB-4333-9EBB-0E050F54C735}" name="Operations" dataDxfId="87" dataCellStyle="Percent"/>
    <tableColumn id="8" xr3:uid="{F6E31CAA-F04B-46C2-8334-B530047CAB53}" name="Marketing" dataDxfId="86" dataCellStyle="Percent"/>
    <tableColumn id="9" xr3:uid="{F04988DB-3C9C-4044-B6FC-FB9DDC63B2E9}" name="SupplyChain" dataDxfId="85" dataCellStyle="Percent"/>
    <tableColumn id="10" xr3:uid="{BC33A705-81A6-4D6F-B829-2E8A94F26926}" name="Library " dataDxfId="84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0BF0C0-78AA-49C8-B35B-E1E6CE866C25}" name="Table8" displayName="Table8" ref="B8:O13" totalsRowShown="0" headerRowDxfId="83" dataDxfId="82" headerRowCellStyle="Accent5">
  <autoFilter ref="B8:O13" xr:uid="{36010CAE-69AE-4D37-A31B-749E00B85E72}"/>
  <tableColumns count="14">
    <tableColumn id="1" xr3:uid="{8A33C904-4D71-4CF5-A5E9-87E18E09CD28}" name="Student ID" dataDxfId="81">
      <calculatedColumnFormula>B8+1723</calculatedColumnFormula>
    </tableColumn>
    <tableColumn id="2" xr3:uid="{D0EB62B1-9C4B-4DBD-919B-72BDCAEB1C87}" name="Business  " dataDxfId="80"/>
    <tableColumn id="3" xr3:uid="{697092CF-F6F8-438C-A63F-2B098ACD2995}" name="Economics" dataDxfId="79"/>
    <tableColumn id="4" xr3:uid="{277D301B-36FD-4E9C-85A2-C2BDB9DF5590}" name="Systems" dataDxfId="78"/>
    <tableColumn id="5" xr3:uid="{86E2AE1E-313F-4DE2-966B-3806CE076971}" name="Enterprise   " dataDxfId="77"/>
    <tableColumn id="6" xr3:uid="{1BF206E4-5856-4E39-AE80-FB0FE8CFDCB4}" name="Databases" dataDxfId="76"/>
    <tableColumn id="7" xr3:uid="{27D64E8C-61AD-49AE-8648-2F82D39C26C9}" name="Operations" dataDxfId="75"/>
    <tableColumn id="8" xr3:uid="{1C0EB3A3-9C5A-431E-B93D-D5AC6853AA73}" name="Marketing" dataDxfId="74"/>
    <tableColumn id="9" xr3:uid="{369A856F-D27F-490B-8D94-F145AC67FF6F}" name="Supply Chain" dataDxfId="73"/>
    <tableColumn id="10" xr3:uid="{9E3F37F0-1E8D-4BAB-9027-479EDC6FCB4A}" name="Overall " dataDxfId="72"/>
    <tableColumn id="11" xr3:uid="{F6662761-D2F4-40CB-A04A-ECF412FDE2BB}" name="Disctription" dataDxfId="71">
      <calculatedColumnFormula>IF(K9&gt;70,"FIRST", IF(K9&gt;60,"2-1", IF(K9&gt;50, "2-2",IF(K9&gt;30, "THIRD","FAILED"))))</calculatedColumnFormula>
    </tableColumn>
    <tableColumn id="12" xr3:uid="{B3B268EA-030E-4574-850F-C8FD82840580}" name="Term 1 total" dataDxfId="70">
      <calculatedColumnFormula>AVERAGE(Table8[[#This Row],[Business  ]:[Enterprise   ]])</calculatedColumnFormula>
    </tableColumn>
    <tableColumn id="13" xr3:uid="{B95019AB-CD38-4AEB-A01D-39372C7788D9}" name="  Term 2 total" dataDxfId="69">
      <calculatedColumnFormula>AVERAGE(Table8[[#This Row],[Databases]:[Supply Chain]])</calculatedColumnFormula>
    </tableColumn>
    <tableColumn id="14" xr3:uid="{AF2BDF1C-8571-4772-A539-C74197B4DF72}" name="Coment By Course Leader" dataDxfId="68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BF5220-CB21-4C18-A79D-0C02E04305B6}" name="Table3" displayName="Table3" ref="B9:C14" totalsRowShown="0" headerRowDxfId="67" tableBorderDxfId="66">
  <autoFilter ref="B9:C14" xr:uid="{81DBF136-B619-4DDA-B0B1-9385F6AB2FFA}"/>
  <tableColumns count="2">
    <tableColumn id="1" xr3:uid="{B49516E1-1355-4442-80E2-F08409A3B89F}" name="Books" dataDxfId="65"/>
    <tableColumn id="2" xr3:uid="{03AF6C72-4D91-4D0F-82D4-32FACDFA7BC2}" name="Importance " dataDxfId="64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3A7DC70-B354-45F9-A67A-183A1CE5B5D1}" name="Table5" displayName="Table5" ref="B16:C21" totalsRowShown="0" headerRowDxfId="63" dataDxfId="61" headerRowBorderDxfId="62" tableBorderDxfId="60" totalsRowBorderDxfId="59">
  <autoFilter ref="B16:C21" xr:uid="{DF0ADA04-E30B-431D-B0E1-B028013A7DBA}"/>
  <tableColumns count="2">
    <tableColumn id="1" xr3:uid="{68ACA1E8-6F98-41EB-941D-FC38A77EE71D}" name="Books " dataDxfId="58"/>
    <tableColumn id="2" xr3:uid="{57FE9E40-6687-42A9-A216-BB83D61E288A}" name="Importance " dataDxfId="57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8762A8E-B496-448D-8395-F4BFF905D5EA}" name="Table9" displayName="Table9" ref="B23:C28" totalsRowShown="0" headerRowDxfId="56" headerRowBorderDxfId="55" tableBorderDxfId="54" totalsRowBorderDxfId="53">
  <autoFilter ref="B23:C28" xr:uid="{FED6CA83-5AFC-4B2B-B3FA-5B7BD3008236}"/>
  <tableColumns count="2">
    <tableColumn id="1" xr3:uid="{03616602-316A-4106-9F8D-B0552EDAB2EA}" name="Books " dataDxfId="52"/>
    <tableColumn id="2" xr3:uid="{D38413C2-59F4-45FB-BF97-48511E06157C}" name="Importance " dataDxfId="51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242585E-7DD9-48FA-A74E-326E3E248645}" name="Table10" displayName="Table10" ref="B30:C35" totalsRowShown="0" headerRowDxfId="50" headerRowBorderDxfId="49" tableBorderDxfId="48" totalsRowBorderDxfId="47">
  <autoFilter ref="B30:C35" xr:uid="{3E25B38C-0AEB-4981-971D-570347CA5520}"/>
  <tableColumns count="2">
    <tableColumn id="1" xr3:uid="{A8208A8C-23D4-45FF-838C-F74BD2673CB9}" name="Books " dataDxfId="46"/>
    <tableColumn id="2" xr3:uid="{2724638D-AC00-4D68-B886-DD61211499B4}" name="Importance" dataDxfId="45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BCCDE55-53BA-4636-9073-D489B148EDD1}" name="Table11" displayName="Table11" ref="B37:C42" totalsRowShown="0" headerRowDxfId="44" headerRowBorderDxfId="43" tableBorderDxfId="42" totalsRowBorderDxfId="41">
  <autoFilter ref="B37:C42" xr:uid="{98891019-9C2F-4561-8DC0-00E1144EC2D1}"/>
  <tableColumns count="2">
    <tableColumn id="1" xr3:uid="{85235AAD-97EF-4F61-A73A-3311C13E2124}" name="Books" dataDxfId="40"/>
    <tableColumn id="2" xr3:uid="{F75453D7-862F-48A6-9D82-BC77B585F1B1}" name="Importance" dataDxfId="39"/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B1B504A-C509-4CED-BD16-46F07A3AA1B6}" name="Table12" displayName="Table12" ref="B44:C49" totalsRowShown="0" headerRowDxfId="38" headerRowBorderDxfId="37" tableBorderDxfId="36" totalsRowBorderDxfId="35">
  <autoFilter ref="B44:C49" xr:uid="{BB6703D0-AD13-4F60-8C14-E666631358B9}"/>
  <tableColumns count="2">
    <tableColumn id="1" xr3:uid="{E78E9020-9B1B-4ABF-979D-A4F1606A38F3}" name="Books" dataDxfId="34"/>
    <tableColumn id="2" xr3:uid="{45228342-42A4-4DBB-9111-B46E06BD317D}" name="Importance" dataDxfId="33"/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722C0BB-E6EB-42F6-B165-6F15224A4B23}" name="Table13" displayName="Table13" ref="B52:C57" totalsRowShown="0" headerRowDxfId="32" headerRowBorderDxfId="31" tableBorderDxfId="30" totalsRowBorderDxfId="29">
  <autoFilter ref="B52:C57" xr:uid="{D90EB208-B615-4201-A04B-FBC23E7BB70A}"/>
  <tableColumns count="2">
    <tableColumn id="1" xr3:uid="{3333BF42-009E-4F61-8B74-C0357C30BE2C}" name="Books" dataDxfId="28"/>
    <tableColumn id="2" xr3:uid="{E2FBFC9B-9E37-4AAE-98B4-8BFCC6FD1155}" name="Importance" dataDxfId="27"/>
  </tableColumns>
  <tableStyleInfo name="TableStyleLight1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6EC5E91-59DA-4147-96FF-5DFAE5098150}" name="Table14" displayName="Table14" ref="B60:C65" totalsRowShown="0" headerRowDxfId="26" headerRowBorderDxfId="25" tableBorderDxfId="24" totalsRowBorderDxfId="23">
  <autoFilter ref="B60:C65" xr:uid="{212CF380-C154-468B-B3BA-CABE30411750}"/>
  <tableColumns count="2">
    <tableColumn id="1" xr3:uid="{03C6733A-BA5A-4EFD-A36A-720C2734B6BC}" name="Books" dataDxfId="22"/>
    <tableColumn id="2" xr3:uid="{51E663D1-B9ED-4648-9069-CB2E8176CFDE}" name="Importance" dataDxfId="21"/>
  </tableColumns>
  <tableStyleInfo name="TableStyleLight1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923946-BA26-4C3D-A2DA-97194327BFA5}" name="Table7" displayName="Table7" ref="B6:D14" totalsRowShown="0" headerRowDxfId="20" dataDxfId="19" tableBorderDxfId="18" headerRowCellStyle="Accent5">
  <autoFilter ref="B6:D14" xr:uid="{268E86C8-8F16-4B00-9182-56EFB2749C1E}"/>
  <tableColumns count="3">
    <tableColumn id="1" xr3:uid="{37CB6132-27B0-489E-8C83-DED27389549D}" name="Modules " dataDxfId="17"/>
    <tableColumn id="2" xr3:uid="{F575C39E-0F0E-4C90-AFAC-DD3383FE6DB5}" name="Assignment 1" dataDxfId="16"/>
    <tableColumn id="3" xr3:uid="{1747D917-DFD4-452A-9FBF-371C5BD863DB}" name="Assignment 2 (if)" dataDxfId="15"/>
  </tableColumns>
  <tableStyleInfo name="TableStyleLight1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7BED71F-8464-4EDD-BC42-629C6027FD07}" name="Table4" displayName="Table4" ref="B8:J13" totalsRowShown="0" headerRowDxfId="14" dataDxfId="13" tableBorderDxfId="12">
  <tableColumns count="9">
    <tableColumn id="1" xr3:uid="{0BA2EDE3-E910-445B-9A20-7924560068A8}" name="Student ID" dataDxfId="11"/>
    <tableColumn id="2" xr3:uid="{396C0BE8-D506-4B16-B977-A2A1F13655DC}" name="September " dataDxfId="10" dataCellStyle="Currency"/>
    <tableColumn id="3" xr3:uid="{52AB1C06-5649-4CD7-8D87-CA89BC6BC521}" name="October" dataDxfId="9" dataCellStyle="Currency"/>
    <tableColumn id="4" xr3:uid="{8FA1669B-AADC-4BE4-AD1E-87B426B49C4C}" name="November" dataDxfId="8" dataCellStyle="Currency"/>
    <tableColumn id="5" xr3:uid="{1D9EB70A-CB9D-409B-B327-E6376A1A33BC}" name="December" dataDxfId="7" dataCellStyle="Currency"/>
    <tableColumn id="6" xr3:uid="{63873EB4-79F6-4A07-AF79-9F907E834815}" name="February" dataDxfId="6"/>
    <tableColumn id="7" xr3:uid="{B493E47E-B194-49BC-8376-464E1FC6E7D7}" name="March" dataDxfId="5"/>
    <tableColumn id="8" xr3:uid="{0FF39EA5-A976-4D79-BDD9-0588CDABEBA1}" name="April" dataDxfId="4"/>
    <tableColumn id="9" xr3:uid="{4B2C5E09-47F1-4BF2-9DE5-D2863D574889}" name="May" dataDxfId="3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3B6EB1-0465-46E0-9222-46102CF1A50F}" name="Table1" displayName="Table1" ref="A4:A25" totalsRowShown="0" headerRowDxfId="2" tableBorderDxfId="1" headerRowCellStyle="Calculation">
  <autoFilter ref="A4:A25" xr:uid="{B7CF6B0C-82E1-4191-B099-DF9A1E8EAEE8}"/>
  <tableColumns count="1">
    <tableColumn id="1" xr3:uid="{E4645296-A032-43EE-962B-D9342CBC3469}" name="Student ID 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E7626-859D-42E0-A99A-C3379788C263}">
  <sheetPr codeName="Sheet1"/>
  <dimension ref="A1:V27"/>
  <sheetViews>
    <sheetView tabSelected="1" zoomScale="74" zoomScaleNormal="74" workbookViewId="0">
      <selection activeCell="C5" sqref="C5:E5"/>
    </sheetView>
  </sheetViews>
  <sheetFormatPr defaultRowHeight="13.8" x14ac:dyDescent="0.25"/>
  <cols>
    <col min="1" max="1" width="15.6640625" style="66" customWidth="1"/>
    <col min="2" max="2" width="11.21875" style="66" customWidth="1"/>
    <col min="3" max="3" width="8.88671875" style="66" customWidth="1"/>
    <col min="4" max="4" width="18.109375" style="66" customWidth="1"/>
    <col min="5" max="5" width="5" style="66" customWidth="1"/>
    <col min="6" max="6" width="1.77734375" style="66" customWidth="1"/>
    <col min="7" max="11" width="8.88671875" style="66"/>
    <col min="12" max="12" width="11.88671875" style="66" bestFit="1" customWidth="1"/>
    <col min="13" max="13" width="14" style="66" bestFit="1" customWidth="1"/>
    <col min="14" max="14" width="10.21875" style="66" bestFit="1" customWidth="1"/>
    <col min="15" max="15" width="12.5546875" style="66" bestFit="1" customWidth="1"/>
    <col min="16" max="16" width="12.88671875" style="66" bestFit="1" customWidth="1"/>
    <col min="17" max="17" width="27.77734375" style="66" bestFit="1" customWidth="1"/>
    <col min="18" max="18" width="31" style="66" customWidth="1"/>
    <col min="19" max="16384" width="8.88671875" style="66"/>
  </cols>
  <sheetData>
    <row r="1" spans="1:22" ht="13.8" customHeight="1" x14ac:dyDescent="0.25">
      <c r="A1" s="158" t="s">
        <v>62</v>
      </c>
      <c r="B1" s="159"/>
      <c r="C1" s="159"/>
      <c r="D1" s="159"/>
      <c r="E1" s="160"/>
    </row>
    <row r="2" spans="1:22" ht="13.8" customHeight="1" x14ac:dyDescent="0.25">
      <c r="A2" s="161"/>
      <c r="B2" s="162"/>
      <c r="C2" s="162"/>
      <c r="D2" s="162"/>
      <c r="E2" s="163"/>
    </row>
    <row r="3" spans="1:22" ht="13.8" customHeight="1" x14ac:dyDescent="0.25">
      <c r="A3" s="161"/>
      <c r="B3" s="162"/>
      <c r="C3" s="162"/>
      <c r="D3" s="162"/>
      <c r="E3" s="163"/>
    </row>
    <row r="4" spans="1:22" ht="16.8" x14ac:dyDescent="0.25">
      <c r="A4" s="134"/>
      <c r="B4" s="135"/>
      <c r="C4" s="135"/>
      <c r="D4" s="135"/>
      <c r="E4" s="136"/>
      <c r="P4" s="155"/>
      <c r="Q4" s="155"/>
      <c r="R4" s="155"/>
      <c r="S4" s="155"/>
    </row>
    <row r="5" spans="1:22" ht="17.399999999999999" customHeight="1" x14ac:dyDescent="0.25">
      <c r="A5" s="156" t="s">
        <v>60</v>
      </c>
      <c r="B5" s="157"/>
      <c r="C5" s="164">
        <v>18002136</v>
      </c>
      <c r="D5" s="164"/>
      <c r="E5" s="165"/>
      <c r="M5" s="70"/>
      <c r="N5" s="70"/>
      <c r="O5" s="141"/>
      <c r="P5" s="141"/>
      <c r="Q5" s="141"/>
      <c r="R5" s="141"/>
      <c r="S5" s="141"/>
      <c r="T5" s="141"/>
      <c r="U5" s="70"/>
      <c r="V5" s="70"/>
    </row>
    <row r="6" spans="1:22" ht="16.8" x14ac:dyDescent="0.25">
      <c r="A6" s="134"/>
      <c r="B6" s="135"/>
      <c r="C6" s="135"/>
      <c r="D6" s="135"/>
      <c r="E6" s="136"/>
      <c r="M6" s="70"/>
      <c r="N6" s="70"/>
      <c r="O6" s="141"/>
      <c r="P6" s="141"/>
      <c r="Q6" s="141"/>
      <c r="R6" s="141"/>
      <c r="S6" s="141"/>
      <c r="T6" s="141"/>
      <c r="U6" s="70"/>
      <c r="V6" s="70"/>
    </row>
    <row r="7" spans="1:22" ht="17.399999999999999" customHeight="1" x14ac:dyDescent="0.25">
      <c r="A7" s="156" t="s">
        <v>61</v>
      </c>
      <c r="B7" s="157"/>
      <c r="C7" s="166" t="s">
        <v>105</v>
      </c>
      <c r="D7" s="166"/>
      <c r="E7" s="167"/>
      <c r="M7" s="70"/>
      <c r="N7" s="70"/>
      <c r="O7" s="141"/>
      <c r="P7" s="141"/>
      <c r="Q7" s="141"/>
      <c r="R7" s="141"/>
      <c r="S7" s="141"/>
      <c r="T7" s="141"/>
      <c r="U7" s="70"/>
      <c r="V7" s="70"/>
    </row>
    <row r="8" spans="1:22" ht="16.8" x14ac:dyDescent="0.25">
      <c r="A8" s="134"/>
      <c r="B8" s="135"/>
      <c r="C8" s="135"/>
      <c r="D8" s="135"/>
      <c r="E8" s="136"/>
      <c r="M8" s="141"/>
      <c r="N8" s="141"/>
      <c r="O8" s="141"/>
      <c r="P8" s="141"/>
      <c r="Q8" s="141"/>
      <c r="R8" s="141"/>
      <c r="S8" s="141"/>
      <c r="T8" s="141"/>
      <c r="U8" s="70"/>
      <c r="V8" s="70"/>
    </row>
    <row r="9" spans="1:22" ht="17.399999999999999" customHeight="1" x14ac:dyDescent="0.3">
      <c r="A9" s="156" t="s">
        <v>66</v>
      </c>
      <c r="B9" s="157"/>
      <c r="C9" s="166" t="str">
        <f>Link!M9</f>
        <v>FIRST</v>
      </c>
      <c r="D9" s="166"/>
      <c r="E9" s="167"/>
      <c r="M9" s="154"/>
      <c r="N9" s="154"/>
      <c r="O9" s="141"/>
      <c r="P9" s="155"/>
      <c r="Q9" s="155"/>
      <c r="R9" s="155"/>
      <c r="S9" s="155"/>
      <c r="T9" s="141"/>
      <c r="U9" s="154"/>
      <c r="V9" s="154"/>
    </row>
    <row r="10" spans="1:22" ht="16.8" x14ac:dyDescent="0.25">
      <c r="A10" s="134"/>
      <c r="B10" s="135"/>
      <c r="C10" s="135"/>
      <c r="D10" s="135"/>
      <c r="E10" s="136"/>
      <c r="M10" s="70"/>
      <c r="N10" s="70"/>
      <c r="O10" s="141"/>
      <c r="P10" s="141"/>
      <c r="Q10" s="141"/>
      <c r="R10" s="141"/>
      <c r="S10" s="141"/>
      <c r="T10" s="141"/>
      <c r="U10" s="70"/>
      <c r="V10" s="70"/>
    </row>
    <row r="11" spans="1:22" ht="17.399999999999999" customHeight="1" x14ac:dyDescent="0.25">
      <c r="A11" s="168" t="s">
        <v>99</v>
      </c>
      <c r="B11" s="169"/>
      <c r="C11" s="169"/>
      <c r="D11" s="169"/>
      <c r="E11" s="137"/>
      <c r="M11" s="141"/>
      <c r="N11" s="70"/>
      <c r="O11" s="141"/>
      <c r="P11" s="141"/>
      <c r="Q11" s="141"/>
      <c r="R11" s="141"/>
      <c r="S11" s="141"/>
      <c r="T11" s="141"/>
      <c r="U11" s="70"/>
      <c r="V11" s="70"/>
    </row>
    <row r="12" spans="1:22" ht="15" x14ac:dyDescent="0.25">
      <c r="A12" s="174" t="str">
        <f>Link!N9</f>
        <v>Very disciplined student</v>
      </c>
      <c r="B12" s="175"/>
      <c r="C12" s="175"/>
      <c r="D12" s="175"/>
      <c r="E12" s="176"/>
      <c r="M12" s="141"/>
      <c r="N12" s="70"/>
      <c r="O12" s="141"/>
      <c r="P12" s="141"/>
      <c r="Q12" s="141"/>
      <c r="R12" s="141"/>
      <c r="S12" s="141"/>
      <c r="T12" s="141"/>
      <c r="U12" s="70"/>
      <c r="V12" s="70"/>
    </row>
    <row r="13" spans="1:22" x14ac:dyDescent="0.25">
      <c r="A13" s="67"/>
      <c r="B13" s="68"/>
      <c r="C13" s="68"/>
      <c r="D13" s="68"/>
      <c r="E13" s="69"/>
      <c r="M13" s="141"/>
      <c r="N13" s="70"/>
      <c r="O13" s="141"/>
      <c r="P13" s="141"/>
      <c r="Q13" s="141"/>
      <c r="R13" s="141"/>
      <c r="S13" s="141"/>
      <c r="T13" s="141"/>
      <c r="U13" s="70"/>
      <c r="V13" s="70"/>
    </row>
    <row r="14" spans="1:22" x14ac:dyDescent="0.25">
      <c r="M14" s="138"/>
      <c r="O14" s="138"/>
      <c r="P14" s="138"/>
      <c r="Q14" s="138"/>
      <c r="R14" s="138"/>
      <c r="S14" s="138"/>
      <c r="T14" s="138"/>
    </row>
    <row r="15" spans="1:22" ht="17.399999999999999" x14ac:dyDescent="0.3">
      <c r="A15" s="178" t="s">
        <v>111</v>
      </c>
      <c r="B15" s="179"/>
      <c r="C15" s="179"/>
      <c r="D15" s="180"/>
      <c r="O15" s="138"/>
      <c r="P15" s="138"/>
      <c r="Q15" s="138"/>
      <c r="R15" s="138"/>
      <c r="S15" s="138"/>
      <c r="T15" s="138"/>
    </row>
    <row r="16" spans="1:22" ht="28.8" customHeight="1" x14ac:dyDescent="0.25">
      <c r="A16" s="184" t="str">
        <f>HLOOKUP(C7,Reading_List,2,FALSE)</f>
        <v xml:space="preserve">The Key elements of Operations </v>
      </c>
      <c r="B16" s="185"/>
      <c r="C16" s="185"/>
      <c r="D16" s="186"/>
      <c r="E16" s="66">
        <f>VLOOKUP(A16,Books_Importance,2,FALSE)</f>
        <v>10</v>
      </c>
      <c r="L16" s="172" t="s">
        <v>91</v>
      </c>
      <c r="M16" s="172"/>
      <c r="N16" s="172"/>
      <c r="O16" s="172"/>
      <c r="P16" s="172"/>
      <c r="Q16" s="172"/>
      <c r="R16" s="138"/>
      <c r="S16" s="138"/>
      <c r="T16" s="138"/>
    </row>
    <row r="17" spans="1:20" ht="28.8" customHeight="1" x14ac:dyDescent="0.25">
      <c r="A17" s="184" t="str">
        <f>HLOOKUP(C7,Reading_List,3,FALSE)</f>
        <v>Operations Theory 105</v>
      </c>
      <c r="B17" s="185"/>
      <c r="C17" s="185"/>
      <c r="D17" s="186"/>
      <c r="E17" s="66">
        <f>VLOOKUP(A17,Books_Importance,2,FALSE)</f>
        <v>7</v>
      </c>
      <c r="L17" s="145" t="s">
        <v>0</v>
      </c>
      <c r="M17" s="146" t="s">
        <v>47</v>
      </c>
      <c r="N17" s="146" t="s">
        <v>48</v>
      </c>
      <c r="O17" s="146" t="s">
        <v>49</v>
      </c>
      <c r="P17" s="146" t="s">
        <v>50</v>
      </c>
      <c r="Q17" s="116" t="s">
        <v>90</v>
      </c>
      <c r="R17" s="138"/>
      <c r="S17" s="138"/>
      <c r="T17" s="138"/>
    </row>
    <row r="18" spans="1:20" ht="27" customHeight="1" x14ac:dyDescent="0.4">
      <c r="A18" s="181" t="str">
        <f>HLOOKUP(C7,Reading_List,4,FALSE)</f>
        <v>Operations Theory 107</v>
      </c>
      <c r="B18" s="182"/>
      <c r="C18" s="182"/>
      <c r="D18" s="183"/>
      <c r="E18" s="66">
        <f>VLOOKUP(A18,Books_Importance,2,FALSE)</f>
        <v>5</v>
      </c>
      <c r="L18" s="144">
        <f>C5</f>
        <v>18002136</v>
      </c>
      <c r="M18" s="116">
        <f>VLOOKUP(L18,Table4[#All],2,FALSE)</f>
        <v>90</v>
      </c>
      <c r="N18" s="116">
        <f>VLOOKUP(L18,Table4[#All],3,FALSE)</f>
        <v>87</v>
      </c>
      <c r="O18" s="116">
        <f>VLOOKUP(L18,Table4[#All],4,FALSE)</f>
        <v>81</v>
      </c>
      <c r="P18" s="116">
        <f>VLOOKUP(L18,Table4[#All],5,FALSE)</f>
        <v>63</v>
      </c>
      <c r="Q18" s="143"/>
      <c r="R18" s="138"/>
      <c r="S18" s="138"/>
      <c r="T18" s="138"/>
    </row>
    <row r="19" spans="1:20" ht="25.8" customHeight="1" x14ac:dyDescent="0.4">
      <c r="A19" s="181" t="str">
        <f>HLOOKUP(C7,Reading_List,5,FALSE)</f>
        <v>=//=</v>
      </c>
      <c r="B19" s="182"/>
      <c r="C19" s="182"/>
      <c r="D19" s="183"/>
      <c r="E19" s="66">
        <f>VLOOKUP(A19,Books_Importance,2,FALSE)</f>
        <v>0</v>
      </c>
      <c r="L19" s="139" t="s">
        <v>46</v>
      </c>
      <c r="M19" s="144">
        <f>Blackboard!C7</f>
        <v>90.8</v>
      </c>
      <c r="N19" s="144">
        <f>Blackboard!D7</f>
        <v>81.8</v>
      </c>
      <c r="O19" s="144">
        <f>Blackboard!E7</f>
        <v>71.8</v>
      </c>
      <c r="P19" s="144">
        <f>Blackboard!F7</f>
        <v>60.2</v>
      </c>
      <c r="Q19" s="143"/>
    </row>
    <row r="20" spans="1:20" ht="26.4" customHeight="1" x14ac:dyDescent="0.25">
      <c r="A20" s="181" t="str">
        <f>HLOOKUP(C7,Reading_List,6,FALSE)</f>
        <v>=//=</v>
      </c>
      <c r="B20" s="182"/>
      <c r="C20" s="182"/>
      <c r="D20" s="183"/>
      <c r="E20" s="66">
        <f>VLOOKUP(A20,Books_Importance,2,FALSE)</f>
        <v>0</v>
      </c>
    </row>
    <row r="21" spans="1:20" ht="34.200000000000003" customHeight="1" x14ac:dyDescent="0.25">
      <c r="L21" s="172" t="s">
        <v>93</v>
      </c>
      <c r="M21" s="172"/>
      <c r="N21" s="172"/>
      <c r="O21" s="172"/>
      <c r="P21" s="172"/>
      <c r="Q21" s="172"/>
    </row>
    <row r="22" spans="1:20" ht="27.6" customHeight="1" x14ac:dyDescent="0.35">
      <c r="A22" s="177" t="s">
        <v>68</v>
      </c>
      <c r="B22" s="177"/>
      <c r="C22" s="177"/>
      <c r="D22" s="177"/>
      <c r="L22" s="145" t="s">
        <v>0</v>
      </c>
      <c r="M22" s="146" t="s">
        <v>51</v>
      </c>
      <c r="N22" s="146" t="s">
        <v>52</v>
      </c>
      <c r="O22" s="146" t="s">
        <v>53</v>
      </c>
      <c r="P22" s="146" t="s">
        <v>54</v>
      </c>
      <c r="Q22" s="116" t="s">
        <v>90</v>
      </c>
      <c r="R22" s="138"/>
    </row>
    <row r="23" spans="1:20" ht="25.8" customHeight="1" x14ac:dyDescent="0.25">
      <c r="A23" s="173">
        <f>VLOOKUP(C7,Deadlines,2,FALSE)</f>
        <v>43933</v>
      </c>
      <c r="B23" s="173"/>
      <c r="C23" s="173"/>
      <c r="D23" s="173"/>
      <c r="L23" s="144">
        <f>C5</f>
        <v>18002136</v>
      </c>
      <c r="M23" s="116">
        <f>VLOOKUP(L18,Table4[#All],6,FALSE)</f>
        <v>44</v>
      </c>
      <c r="N23" s="116">
        <f>VLOOKUP(L23,Table4[#All],7,FALSE)</f>
        <v>58</v>
      </c>
      <c r="O23" s="116">
        <f>VLOOKUP(L23,Table4[#All],8,FALSE)</f>
        <v>21</v>
      </c>
      <c r="P23" s="116">
        <f>VLOOKUP(L23,Table4[#All],9,FALSE)</f>
        <v>18</v>
      </c>
      <c r="Q23" s="116"/>
      <c r="R23" s="138"/>
    </row>
    <row r="24" spans="1:20" ht="24" customHeight="1" x14ac:dyDescent="0.25">
      <c r="A24" s="173"/>
      <c r="B24" s="173"/>
      <c r="C24" s="173"/>
      <c r="D24" s="173"/>
      <c r="L24" s="139" t="s">
        <v>46</v>
      </c>
      <c r="M24" s="144">
        <f>Blackboard!G7</f>
        <v>30.8</v>
      </c>
      <c r="N24" s="144">
        <f>Blackboard!H7</f>
        <v>47.6</v>
      </c>
      <c r="O24" s="144">
        <f>Blackboard!I7</f>
        <v>27.8</v>
      </c>
      <c r="P24" s="144">
        <f>Blackboard!J7</f>
        <v>45.8</v>
      </c>
      <c r="Q24" s="116"/>
      <c r="R24" s="138"/>
    </row>
    <row r="25" spans="1:20" ht="25.2" customHeight="1" x14ac:dyDescent="0.25">
      <c r="A25" s="170">
        <f>VLOOKUP(C7,Deadlines,3,FALSE)</f>
        <v>43783</v>
      </c>
      <c r="B25" s="170"/>
      <c r="C25" s="170"/>
      <c r="D25" s="170"/>
      <c r="R25" s="138"/>
    </row>
    <row r="26" spans="1:20" ht="24" customHeight="1" x14ac:dyDescent="0.25">
      <c r="A26" s="171"/>
      <c r="B26" s="171"/>
      <c r="C26" s="171"/>
      <c r="D26" s="171"/>
      <c r="L26" s="152"/>
      <c r="M26" s="66" t="s">
        <v>94</v>
      </c>
      <c r="R26" s="138"/>
    </row>
    <row r="27" spans="1:20" ht="21" customHeight="1" x14ac:dyDescent="0.25">
      <c r="L27" s="153"/>
      <c r="M27" s="66" t="s">
        <v>87</v>
      </c>
    </row>
  </sheetData>
  <sortState xmlns:xlrd2="http://schemas.microsoft.com/office/spreadsheetml/2017/richdata2" ref="A16:D25">
    <sortCondition sortBy="icon" ref="A16"/>
  </sortState>
  <mergeCells count="24">
    <mergeCell ref="A25:D26"/>
    <mergeCell ref="L16:Q16"/>
    <mergeCell ref="L21:Q21"/>
    <mergeCell ref="A23:D24"/>
    <mergeCell ref="A12:E12"/>
    <mergeCell ref="A22:D22"/>
    <mergeCell ref="A15:D15"/>
    <mergeCell ref="A20:D20"/>
    <mergeCell ref="A16:D16"/>
    <mergeCell ref="A17:D17"/>
    <mergeCell ref="A18:D18"/>
    <mergeCell ref="A19:D19"/>
    <mergeCell ref="A1:E3"/>
    <mergeCell ref="C5:E5"/>
    <mergeCell ref="C7:E7"/>
    <mergeCell ref="C9:E9"/>
    <mergeCell ref="A11:D11"/>
    <mergeCell ref="U9:V9"/>
    <mergeCell ref="P4:S4"/>
    <mergeCell ref="P9:S9"/>
    <mergeCell ref="A9:B9"/>
    <mergeCell ref="A7:B7"/>
    <mergeCell ref="A5:B5"/>
    <mergeCell ref="M9:N9"/>
  </mergeCells>
  <conditionalFormatting sqref="A16:A20 E22 E24 E16:E2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913E48D-EC0C-459F-AD9E-5D53323F5614}">
          <x14:formula1>
            <xm:f>Users!$H$5:$H$9</xm:f>
          </x14:formula1>
          <xm:sqref>C5:E5</xm:sqref>
        </x14:dataValidation>
        <x14:dataValidation type="list" allowBlank="1" showInputMessage="1" showErrorMessage="1" xr:uid="{64855542-91B3-4B12-88E9-2BBFD610CBFF}">
          <x14:formula1>
            <xm:f>Reading!$A$6:$H$6</xm:f>
          </x14:formula1>
          <xm:sqref>C7:E7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80355913-3782-43F0-B942-DEE6B95B9CC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Dashboard!M18:P18</xm:f>
              <xm:sqref>Q18</xm:sqref>
            </x14:sparkline>
          </x14:sparklines>
        </x14:sparklineGroup>
        <x14:sparklineGroup displayEmptyCellsAs="gap" xr2:uid="{A4DEC793-06B6-4454-9A47-6F9BC7784F1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Dashboard!M23:P23</xm:f>
              <xm:sqref>Q23</xm:sqref>
            </x14:sparkline>
          </x14:sparklines>
        </x14:sparklineGroup>
        <x14:sparklineGroup displayEmptyCellsAs="gap" xr2:uid="{861D5C0B-A527-4F35-9E49-81BB6CA7B9D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Dashboard!M24:P24</xm:f>
              <xm:sqref>Q24</xm:sqref>
            </x14:sparkline>
          </x14:sparklines>
        </x14:sparklineGroup>
        <x14:sparklineGroup displayEmptyCellsAs="gap" xr2:uid="{999C4B50-2045-46D9-8774-32C38DCA7C6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Dashboard!M19:P19</xm:f>
              <xm:sqref>Q19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36822-3865-41FD-BCBA-5CF777F1C4C1}">
  <sheetPr codeName="Sheet2"/>
  <dimension ref="B1:P43"/>
  <sheetViews>
    <sheetView workbookViewId="0">
      <selection activeCell="J16" sqref="J16"/>
    </sheetView>
  </sheetViews>
  <sheetFormatPr defaultRowHeight="14.4" x14ac:dyDescent="0.3"/>
  <cols>
    <col min="1" max="1" width="5" customWidth="1"/>
    <col min="2" max="2" width="15.109375" customWidth="1"/>
    <col min="3" max="3" width="19.109375" bestFit="1" customWidth="1"/>
    <col min="4" max="4" width="13.88671875" bestFit="1" customWidth="1"/>
    <col min="5" max="5" width="13" customWidth="1"/>
    <col min="6" max="7" width="12.77734375" bestFit="1" customWidth="1"/>
    <col min="8" max="8" width="12.44140625" bestFit="1" customWidth="1"/>
    <col min="9" max="9" width="13" bestFit="1" customWidth="1"/>
    <col min="10" max="10" width="12.109375" bestFit="1" customWidth="1"/>
    <col min="11" max="11" width="15.21875" bestFit="1" customWidth="1"/>
    <col min="12" max="12" width="12.5546875" customWidth="1"/>
    <col min="13" max="13" width="13.77734375" customWidth="1"/>
    <col min="14" max="14" width="55" bestFit="1" customWidth="1"/>
  </cols>
  <sheetData>
    <row r="1" spans="2:16" ht="31.8" customHeight="1" x14ac:dyDescent="0.3">
      <c r="B1" s="187" t="s">
        <v>92</v>
      </c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</row>
    <row r="2" spans="2:16" ht="15.6" x14ac:dyDescent="0.3">
      <c r="C2" s="188" t="s">
        <v>67</v>
      </c>
      <c r="D2" s="188"/>
      <c r="E2" s="188"/>
      <c r="F2" s="188"/>
      <c r="G2" s="188"/>
      <c r="H2" s="188"/>
      <c r="I2" s="188"/>
      <c r="J2" s="188"/>
      <c r="K2" s="188"/>
      <c r="L2" s="55"/>
      <c r="M2" s="55"/>
      <c r="N2" s="54"/>
    </row>
    <row r="3" spans="2:16" ht="15.6" x14ac:dyDescent="0.3">
      <c r="C3" s="58" t="s">
        <v>0</v>
      </c>
      <c r="D3" s="56" t="s">
        <v>72</v>
      </c>
      <c r="E3" s="56" t="s">
        <v>101</v>
      </c>
      <c r="F3" s="56" t="s">
        <v>108</v>
      </c>
      <c r="G3" s="56" t="s">
        <v>109</v>
      </c>
      <c r="H3" s="56" t="s">
        <v>104</v>
      </c>
      <c r="I3" s="56" t="s">
        <v>105</v>
      </c>
      <c r="J3" s="56" t="s">
        <v>106</v>
      </c>
      <c r="K3" s="56" t="s">
        <v>110</v>
      </c>
      <c r="L3" s="56" t="s">
        <v>2</v>
      </c>
      <c r="N3" s="54"/>
    </row>
    <row r="4" spans="2:16" ht="15.6" x14ac:dyDescent="0.3">
      <c r="C4" s="116">
        <f>Dashboard!C5</f>
        <v>18002136</v>
      </c>
      <c r="D4" s="60">
        <f>VLOOKUP(C4,Attendance[],2,FALSE)</f>
        <v>0.89</v>
      </c>
      <c r="E4" s="61">
        <f>VLOOKUP(C4,Attendance[],3,FALSE)</f>
        <v>0.26</v>
      </c>
      <c r="F4" s="61">
        <f>VLOOKUP(C4,Attendance[],4,FALSE)</f>
        <v>0.34</v>
      </c>
      <c r="G4" s="61">
        <f>VLOOKUP(C4,Attendance[],5,FALSE)</f>
        <v>0.56999999999999995</v>
      </c>
      <c r="H4" s="61">
        <f>VLOOKUP(C4,Attendance[],6,FALSE)</f>
        <v>0.5</v>
      </c>
      <c r="I4" s="61">
        <f>VLOOKUP(C4,Attendance[],7,FALSE)</f>
        <v>0.57999999999999996</v>
      </c>
      <c r="J4" s="61">
        <f>VLOOKUP(C4,Attendance[],8,FALSE)</f>
        <v>0.56000000000000005</v>
      </c>
      <c r="K4" s="61">
        <f>VLOOKUP(C4,Attendance[],9,FALSE)</f>
        <v>0.79</v>
      </c>
      <c r="L4" s="59">
        <f>VLOOKUP(C4,Attendance[],10,FALSE)</f>
        <v>0.77</v>
      </c>
      <c r="N4" s="54"/>
    </row>
    <row r="5" spans="2:16" ht="15.6" x14ac:dyDescent="0.3">
      <c r="C5" s="115" t="s">
        <v>46</v>
      </c>
      <c r="D5" s="61">
        <f>'Attendance '!B7</f>
        <v>0.75200000000000011</v>
      </c>
      <c r="E5" s="61">
        <f>'Attendance '!C7</f>
        <v>0.56799999999999995</v>
      </c>
      <c r="F5" s="61">
        <f>'Attendance '!D7</f>
        <v>0.66600000000000004</v>
      </c>
      <c r="G5" s="61">
        <f>'Attendance '!E7</f>
        <v>0.70200000000000007</v>
      </c>
      <c r="H5" s="61">
        <f>'Attendance '!F7</f>
        <v>0.79</v>
      </c>
      <c r="I5" s="61">
        <f>'Attendance '!G7</f>
        <v>0.74199999999999988</v>
      </c>
      <c r="J5" s="61">
        <f>'Attendance '!H7</f>
        <v>0.73599999999999999</v>
      </c>
      <c r="K5" s="61">
        <f>'Attendance '!I7</f>
        <v>0.84000000000000008</v>
      </c>
      <c r="L5" s="61">
        <f>'Attendance '!J7</f>
        <v>0.56200000000000006</v>
      </c>
      <c r="N5" s="54"/>
    </row>
    <row r="6" spans="2:16" ht="15.6" x14ac:dyDescent="0.3"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</row>
    <row r="7" spans="2:16" ht="15.6" x14ac:dyDescent="0.3">
      <c r="C7" s="188" t="s">
        <v>77</v>
      </c>
      <c r="D7" s="188"/>
      <c r="E7" s="188"/>
      <c r="F7" s="188"/>
      <c r="G7" s="188"/>
      <c r="H7" s="188"/>
      <c r="I7" s="188"/>
      <c r="J7" s="188"/>
      <c r="K7" s="188"/>
      <c r="L7" s="55"/>
      <c r="M7" s="55"/>
      <c r="N7" s="55"/>
    </row>
    <row r="8" spans="2:16" ht="15.6" x14ac:dyDescent="0.3">
      <c r="C8" s="58" t="s">
        <v>0</v>
      </c>
      <c r="D8" s="56" t="s">
        <v>72</v>
      </c>
      <c r="E8" s="56" t="s">
        <v>101</v>
      </c>
      <c r="F8" s="56" t="s">
        <v>108</v>
      </c>
      <c r="G8" s="56" t="s">
        <v>109</v>
      </c>
      <c r="H8" s="56" t="s">
        <v>104</v>
      </c>
      <c r="I8" s="56" t="s">
        <v>105</v>
      </c>
      <c r="J8" s="56" t="s">
        <v>106</v>
      </c>
      <c r="K8" s="56" t="s">
        <v>110</v>
      </c>
      <c r="L8" s="56" t="s">
        <v>4</v>
      </c>
      <c r="M8" s="56" t="s">
        <v>64</v>
      </c>
      <c r="N8" s="56" t="s">
        <v>65</v>
      </c>
    </row>
    <row r="9" spans="2:16" ht="15.6" x14ac:dyDescent="0.3">
      <c r="C9" s="116">
        <f>C4</f>
        <v>18002136</v>
      </c>
      <c r="D9" s="57">
        <f>VLOOKUP($C$9,Grades,2,FALSE)</f>
        <v>75</v>
      </c>
      <c r="E9" s="57">
        <f>VLOOKUP($C$9,Grades,3,FALSE)</f>
        <v>66</v>
      </c>
      <c r="F9" s="57">
        <f>VLOOKUP($C$9,Grades,4,FALSE)</f>
        <v>54</v>
      </c>
      <c r="G9" s="57">
        <f>VLOOKUP($C$9,Grades,5,FALSE)</f>
        <v>57</v>
      </c>
      <c r="H9" s="57">
        <f>VLOOKUP($C$9,Grades,6,FALSE)</f>
        <v>80</v>
      </c>
      <c r="I9" s="57">
        <f>VLOOKUP($C$9,Grades,7,FALSE)</f>
        <v>85</v>
      </c>
      <c r="J9" s="57">
        <f>VLOOKUP($C$9,Grades,8,FALSE)</f>
        <v>78</v>
      </c>
      <c r="K9" s="57">
        <f>VLOOKUP(C9,Grades,9,FALSE)</f>
        <v>73</v>
      </c>
      <c r="L9" s="57">
        <f>VLOOKUP($C$9,Grades,10,FALSE)</f>
        <v>71</v>
      </c>
      <c r="M9" s="78" t="str">
        <f>VLOOKUP(C9,Grades,11,FALSE)</f>
        <v>FIRST</v>
      </c>
      <c r="N9" s="79" t="str">
        <f>VLOOKUP(C9,Grades,14,FALSE)</f>
        <v>Very disciplined student</v>
      </c>
    </row>
    <row r="10" spans="2:16" ht="15.6" x14ac:dyDescent="0.3">
      <c r="C10" s="115" t="s">
        <v>46</v>
      </c>
      <c r="D10" s="57">
        <f>Grades!C7</f>
        <v>51.8</v>
      </c>
      <c r="E10" s="57">
        <f>Grades!D7</f>
        <v>57</v>
      </c>
      <c r="F10" s="57">
        <f>Grades!E7</f>
        <v>60.2</v>
      </c>
      <c r="G10" s="57">
        <f>Grades!F7</f>
        <v>48</v>
      </c>
      <c r="H10" s="57">
        <f>Grades!G7</f>
        <v>56.8</v>
      </c>
      <c r="I10" s="57">
        <f>Grades!H7</f>
        <v>61</v>
      </c>
      <c r="J10" s="57">
        <f>Grades!I7</f>
        <v>55.6</v>
      </c>
      <c r="K10" s="57">
        <f>Grades!J7</f>
        <v>53.4</v>
      </c>
      <c r="L10" s="54"/>
      <c r="M10" s="54"/>
      <c r="N10" s="54"/>
    </row>
    <row r="11" spans="2:16" ht="15.6" x14ac:dyDescent="0.3">
      <c r="C11" s="188" t="s">
        <v>76</v>
      </c>
      <c r="D11" s="188"/>
      <c r="E11" s="188"/>
      <c r="F11" s="188"/>
      <c r="G11" s="188"/>
      <c r="H11" s="188"/>
      <c r="I11" s="188"/>
      <c r="J11" s="188"/>
      <c r="K11" s="188"/>
      <c r="L11" s="188"/>
      <c r="M11" s="54"/>
      <c r="N11" s="54"/>
    </row>
    <row r="12" spans="2:16" ht="15.6" x14ac:dyDescent="0.3">
      <c r="C12" s="132" t="s">
        <v>0</v>
      </c>
      <c r="D12" s="125" t="s">
        <v>85</v>
      </c>
      <c r="E12" s="125" t="s">
        <v>81</v>
      </c>
      <c r="F12" s="125" t="s">
        <v>82</v>
      </c>
      <c r="G12" s="125" t="s">
        <v>83</v>
      </c>
      <c r="H12" s="125" t="s">
        <v>80</v>
      </c>
      <c r="I12" s="133" t="s">
        <v>86</v>
      </c>
      <c r="J12" s="125" t="s">
        <v>84</v>
      </c>
      <c r="L12" s="54"/>
      <c r="M12" s="118"/>
      <c r="N12" s="118"/>
      <c r="O12" s="118"/>
      <c r="P12" s="118"/>
    </row>
    <row r="13" spans="2:16" ht="15.6" x14ac:dyDescent="0.3">
      <c r="C13" s="131">
        <f>C4</f>
        <v>18002136</v>
      </c>
      <c r="D13">
        <v>30</v>
      </c>
      <c r="E13" s="126">
        <v>20</v>
      </c>
      <c r="F13" s="126">
        <v>10</v>
      </c>
      <c r="G13" s="126">
        <v>10</v>
      </c>
      <c r="H13" s="126">
        <v>30</v>
      </c>
      <c r="I13" s="126">
        <f>Grades!K7</f>
        <v>55.475000000000001</v>
      </c>
      <c r="J13" s="126">
        <f>VLOOKUP(Link!C13,Grades,10,FALSE)</f>
        <v>71</v>
      </c>
      <c r="M13" s="54"/>
      <c r="N13" s="54"/>
    </row>
    <row r="14" spans="2:16" ht="15.6" x14ac:dyDescent="0.3">
      <c r="M14" s="54"/>
      <c r="N14" s="54"/>
    </row>
    <row r="15" spans="2:16" ht="15.6" x14ac:dyDescent="0.3">
      <c r="K15" s="126"/>
      <c r="M15" s="54"/>
      <c r="N15" s="54"/>
    </row>
    <row r="16" spans="2:16" ht="15.6" x14ac:dyDescent="0.3">
      <c r="E16" s="126"/>
      <c r="F16" s="126"/>
      <c r="G16" s="126"/>
      <c r="H16" s="126"/>
      <c r="I16" s="126"/>
      <c r="J16" s="126"/>
      <c r="K16" s="126"/>
      <c r="M16" s="54"/>
      <c r="N16" s="54"/>
    </row>
    <row r="17" spans="3:14" ht="15.6" x14ac:dyDescent="0.3">
      <c r="E17" s="126"/>
      <c r="F17" s="126"/>
      <c r="G17" s="126"/>
      <c r="H17" s="126"/>
      <c r="I17" s="126"/>
      <c r="J17" s="126"/>
      <c r="K17" s="126"/>
      <c r="L17" s="54"/>
      <c r="M17" s="54"/>
      <c r="N17" s="54"/>
    </row>
    <row r="18" spans="3:14" ht="15.6" x14ac:dyDescent="0.3">
      <c r="G18" s="126"/>
      <c r="H18" s="126"/>
      <c r="I18" s="126"/>
      <c r="J18" s="126"/>
      <c r="K18" s="126"/>
      <c r="L18" s="54"/>
      <c r="M18" s="54"/>
      <c r="N18" s="54"/>
    </row>
    <row r="19" spans="3:14" ht="15.6" x14ac:dyDescent="0.3">
      <c r="E19" s="126"/>
      <c r="F19" s="126"/>
      <c r="G19" s="126"/>
      <c r="H19" s="126"/>
      <c r="I19" s="126"/>
      <c r="J19" s="126"/>
      <c r="K19" s="126"/>
      <c r="L19" s="54"/>
      <c r="M19" s="54"/>
      <c r="N19" s="54"/>
    </row>
    <row r="20" spans="3:14" x14ac:dyDescent="0.3">
      <c r="E20" s="126"/>
      <c r="F20" s="126"/>
      <c r="G20" s="126"/>
      <c r="H20" s="126"/>
      <c r="I20" s="126"/>
      <c r="J20" s="126"/>
      <c r="K20" s="126"/>
    </row>
    <row r="21" spans="3:14" ht="15.6" x14ac:dyDescent="0.3">
      <c r="C21" s="188" t="s">
        <v>88</v>
      </c>
      <c r="D21" s="188"/>
      <c r="E21" s="188"/>
      <c r="F21" s="188"/>
      <c r="G21" s="188"/>
      <c r="H21" s="188"/>
      <c r="I21" s="188"/>
      <c r="J21" s="188"/>
      <c r="K21" s="188"/>
    </row>
    <row r="22" spans="3:14" ht="15.6" x14ac:dyDescent="0.3">
      <c r="C22" s="58" t="s">
        <v>0</v>
      </c>
      <c r="D22" s="56" t="s">
        <v>47</v>
      </c>
      <c r="E22" s="56" t="s">
        <v>48</v>
      </c>
      <c r="F22" s="56" t="s">
        <v>49</v>
      </c>
      <c r="G22" s="56" t="s">
        <v>50</v>
      </c>
      <c r="H22" s="140"/>
      <c r="I22" s="140"/>
      <c r="J22" s="140"/>
      <c r="K22" s="140"/>
    </row>
    <row r="23" spans="3:14" ht="15.6" x14ac:dyDescent="0.3">
      <c r="C23" s="116">
        <f>C4</f>
        <v>18002136</v>
      </c>
      <c r="D23" s="54">
        <f>VLOOKUP(C23,Table4[#All],2,FALSE)</f>
        <v>90</v>
      </c>
      <c r="E23" s="54">
        <f>VLOOKUP(C23,Table4[#All],3,FALSE)</f>
        <v>87</v>
      </c>
      <c r="F23" s="54">
        <f>VLOOKUP(C23,Table4[#All],4,FALSE)</f>
        <v>81</v>
      </c>
      <c r="G23" s="54">
        <f>VLOOKUP(C23,Table4[#All],5,FALSE)</f>
        <v>63</v>
      </c>
      <c r="H23" s="140"/>
      <c r="I23" s="140"/>
      <c r="J23" s="140"/>
      <c r="K23" s="140"/>
    </row>
    <row r="24" spans="3:14" ht="15.6" x14ac:dyDescent="0.3">
      <c r="C24" s="115" t="s">
        <v>46</v>
      </c>
      <c r="D24" s="57">
        <f>Blackboard!C7</f>
        <v>90.8</v>
      </c>
      <c r="E24" s="57">
        <f>Blackboard!D7</f>
        <v>81.8</v>
      </c>
      <c r="F24" s="57">
        <f>Blackboard!E7</f>
        <v>71.8</v>
      </c>
      <c r="G24" s="57">
        <f>Blackboard!F7</f>
        <v>60.2</v>
      </c>
      <c r="H24" s="140"/>
      <c r="I24" s="140"/>
      <c r="J24" s="140"/>
      <c r="K24" s="140"/>
    </row>
    <row r="25" spans="3:14" ht="14.4" customHeight="1" x14ac:dyDescent="0.3">
      <c r="H25" s="140"/>
      <c r="I25" s="140"/>
      <c r="J25" s="140"/>
      <c r="K25" s="140"/>
    </row>
    <row r="26" spans="3:14" ht="15.6" x14ac:dyDescent="0.3">
      <c r="C26" s="188" t="s">
        <v>89</v>
      </c>
      <c r="D26" s="188"/>
      <c r="E26" s="188"/>
      <c r="F26" s="188"/>
      <c r="G26" s="188"/>
      <c r="H26" s="188"/>
      <c r="I26" s="188"/>
      <c r="J26" s="188"/>
      <c r="K26" s="188"/>
    </row>
    <row r="27" spans="3:14" ht="15.6" x14ac:dyDescent="0.3">
      <c r="C27" s="58" t="s">
        <v>0</v>
      </c>
      <c r="D27" s="56" t="s">
        <v>51</v>
      </c>
      <c r="E27" s="56" t="s">
        <v>52</v>
      </c>
      <c r="F27" s="56" t="s">
        <v>53</v>
      </c>
      <c r="G27" s="56" t="s">
        <v>54</v>
      </c>
      <c r="H27" s="140"/>
      <c r="I27" s="140"/>
      <c r="J27" s="140"/>
      <c r="K27" s="140"/>
    </row>
    <row r="28" spans="3:14" ht="15.6" x14ac:dyDescent="0.3">
      <c r="C28" s="116">
        <f>C4</f>
        <v>18002136</v>
      </c>
      <c r="D28" s="54">
        <f>VLOOKUP(C23,Table4[#All],6,FALSE)</f>
        <v>44</v>
      </c>
      <c r="E28" s="54">
        <f>VLOOKUP(C23,Table4[#All],7,FALSE)</f>
        <v>58</v>
      </c>
      <c r="F28" s="54">
        <f>VLOOKUP(C23,Table4[#All],8,FALSE)</f>
        <v>21</v>
      </c>
      <c r="G28" s="54">
        <f>VLOOKUP(C23,Table4[#All],9,FALSE)</f>
        <v>18</v>
      </c>
      <c r="H28" s="140"/>
      <c r="I28" s="140"/>
      <c r="J28" s="140"/>
      <c r="K28" s="140"/>
    </row>
    <row r="29" spans="3:14" ht="15.6" x14ac:dyDescent="0.3">
      <c r="C29" s="139" t="s">
        <v>46</v>
      </c>
      <c r="D29" s="57">
        <f>Blackboard!G7</f>
        <v>30.8</v>
      </c>
      <c r="E29" s="57">
        <f>Blackboard!H7</f>
        <v>47.6</v>
      </c>
      <c r="F29" s="57">
        <f>Blackboard!I7</f>
        <v>27.8</v>
      </c>
      <c r="G29" s="57">
        <f>Blackboard!J7</f>
        <v>45.8</v>
      </c>
      <c r="H29" s="140"/>
      <c r="I29" s="140"/>
      <c r="J29" s="140"/>
      <c r="K29" s="140"/>
    </row>
    <row r="30" spans="3:14" ht="14.4" customHeight="1" x14ac:dyDescent="0.3">
      <c r="H30" s="140"/>
      <c r="I30" s="140"/>
      <c r="J30" s="140"/>
      <c r="K30" s="140"/>
    </row>
    <row r="41" spans="3:8" x14ac:dyDescent="0.3">
      <c r="C41" s="142"/>
      <c r="D41" s="142"/>
      <c r="E41" s="142"/>
      <c r="F41" s="142"/>
      <c r="G41" s="142"/>
      <c r="H41" s="142"/>
    </row>
    <row r="42" spans="3:8" x14ac:dyDescent="0.3">
      <c r="C42" s="142"/>
      <c r="D42" s="142"/>
      <c r="E42" s="142"/>
      <c r="F42" s="142"/>
      <c r="G42" s="142"/>
      <c r="H42" s="142"/>
    </row>
    <row r="43" spans="3:8" x14ac:dyDescent="0.3">
      <c r="C43" s="142"/>
      <c r="D43" s="142"/>
      <c r="E43" s="142"/>
      <c r="F43" s="142"/>
      <c r="G43" s="142"/>
      <c r="H43" s="142"/>
    </row>
  </sheetData>
  <mergeCells count="6">
    <mergeCell ref="B1:N1"/>
    <mergeCell ref="C26:K26"/>
    <mergeCell ref="C2:K2"/>
    <mergeCell ref="C7:K7"/>
    <mergeCell ref="C21:K21"/>
    <mergeCell ref="C11:L11"/>
  </mergeCells>
  <phoneticPr fontId="1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734074B1-4A03-42B7-AFBF-4205962F263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Link!D23:G23</xm:f>
              <xm:sqref>H23</xm:sqref>
            </x14:sparkline>
            <x14:sparkline>
              <xm:f>Link!D24:G24</xm:f>
              <xm:sqref>H24</xm:sqref>
            </x14:sparkline>
          </x14:sparklines>
        </x14:sparklineGroup>
        <x14:sparklineGroup displayEmptyCellsAs="gap" xr2:uid="{71783894-442C-4338-BEF4-A4006AA623A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Link!D28:G28</xm:f>
              <xm:sqref>H28</xm:sqref>
            </x14:sparkline>
            <x14:sparkline>
              <xm:f>Link!D29:G29</xm:f>
              <xm:sqref>H29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U28"/>
  <sheetViews>
    <sheetView zoomScaleNormal="100" workbookViewId="0">
      <selection activeCell="I8" sqref="B8:I8"/>
    </sheetView>
  </sheetViews>
  <sheetFormatPr defaultColWidth="13.6640625" defaultRowHeight="14.4" x14ac:dyDescent="0.3"/>
  <cols>
    <col min="1" max="1" width="15.6640625" style="1" customWidth="1"/>
    <col min="2" max="8" width="14.88671875" style="1" customWidth="1"/>
    <col min="9" max="9" width="17.44140625" style="1" bestFit="1" customWidth="1"/>
    <col min="10" max="10" width="13.6640625" style="1"/>
    <col min="11" max="11" width="4.21875" style="1" customWidth="1"/>
    <col min="12" max="19" width="16.33203125" style="1" customWidth="1"/>
    <col min="20" max="16384" width="13.6640625" style="1"/>
  </cols>
  <sheetData>
    <row r="1" spans="1:21" ht="17.399999999999999" x14ac:dyDescent="0.3">
      <c r="A1" s="191" t="s">
        <v>1</v>
      </c>
      <c r="B1" s="192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</row>
    <row r="2" spans="1:21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</row>
    <row r="3" spans="1:21" x14ac:dyDescent="0.3">
      <c r="A3" s="5"/>
      <c r="B3" s="189"/>
      <c r="C3" s="189"/>
      <c r="D3" s="189"/>
      <c r="E3" s="189"/>
      <c r="F3" s="189"/>
      <c r="G3" s="189"/>
      <c r="H3" s="189"/>
      <c r="I3" s="189"/>
      <c r="J3" s="189"/>
      <c r="K3" s="19"/>
      <c r="L3" s="19"/>
      <c r="M3" s="190"/>
      <c r="N3" s="190"/>
      <c r="O3" s="190"/>
      <c r="P3" s="190"/>
      <c r="Q3" s="190"/>
      <c r="R3" s="190"/>
      <c r="S3" s="190"/>
      <c r="T3" s="5"/>
    </row>
    <row r="4" spans="1:21" x14ac:dyDescent="0.3">
      <c r="A4" s="5"/>
      <c r="B4" s="9"/>
      <c r="I4" s="5"/>
      <c r="J4" s="19"/>
      <c r="K4" s="19"/>
      <c r="L4" s="19"/>
      <c r="M4" s="19"/>
      <c r="S4" s="5"/>
      <c r="T4" s="5"/>
    </row>
    <row r="5" spans="1:21" x14ac:dyDescent="0.3">
      <c r="A5" s="5"/>
      <c r="C5" s="195" t="s">
        <v>7</v>
      </c>
      <c r="D5" s="195"/>
      <c r="E5" s="195"/>
      <c r="F5" s="195"/>
      <c r="G5" s="195"/>
      <c r="H5" s="195"/>
      <c r="J5" s="19"/>
      <c r="K5" s="19"/>
      <c r="L5" s="19"/>
      <c r="M5" s="19"/>
      <c r="N5" s="7"/>
      <c r="O5" s="5"/>
      <c r="P5" s="5"/>
      <c r="Q5" s="5"/>
      <c r="R5" s="5"/>
      <c r="S5" s="5"/>
      <c r="T5" s="5"/>
    </row>
    <row r="6" spans="1:21" ht="15.6" x14ac:dyDescent="0.3">
      <c r="B6" s="194" t="s">
        <v>43</v>
      </c>
      <c r="C6" s="194"/>
      <c r="D6" s="194"/>
      <c r="E6" s="194"/>
      <c r="F6" s="194" t="s">
        <v>44</v>
      </c>
      <c r="G6" s="194"/>
      <c r="H6" s="194"/>
      <c r="I6" s="194"/>
    </row>
    <row r="7" spans="1:21" x14ac:dyDescent="0.3">
      <c r="A7" s="18" t="s">
        <v>46</v>
      </c>
      <c r="B7" s="117">
        <f t="shared" ref="B7:J7" si="0">AVERAGE(B9:B13)</f>
        <v>0.75200000000000011</v>
      </c>
      <c r="C7" s="117">
        <f t="shared" si="0"/>
        <v>0.56799999999999995</v>
      </c>
      <c r="D7" s="117">
        <f t="shared" si="0"/>
        <v>0.66600000000000004</v>
      </c>
      <c r="E7" s="117">
        <f t="shared" si="0"/>
        <v>0.70200000000000007</v>
      </c>
      <c r="F7" s="117">
        <f t="shared" si="0"/>
        <v>0.79</v>
      </c>
      <c r="G7" s="117">
        <f t="shared" si="0"/>
        <v>0.74199999999999988</v>
      </c>
      <c r="H7" s="117">
        <f t="shared" si="0"/>
        <v>0.73599999999999999</v>
      </c>
      <c r="I7" s="117">
        <f t="shared" si="0"/>
        <v>0.84000000000000008</v>
      </c>
      <c r="J7" s="117">
        <f t="shared" si="0"/>
        <v>0.56200000000000006</v>
      </c>
      <c r="L7" s="2"/>
      <c r="M7" s="2"/>
      <c r="N7" s="193"/>
      <c r="O7" s="193"/>
      <c r="P7" s="193"/>
      <c r="Q7" s="193"/>
      <c r="R7" s="193"/>
      <c r="S7" s="2"/>
    </row>
    <row r="8" spans="1:21" ht="18" x14ac:dyDescent="0.35">
      <c r="A8" s="31" t="s">
        <v>0</v>
      </c>
      <c r="B8" s="25" t="s">
        <v>72</v>
      </c>
      <c r="C8" s="25" t="s">
        <v>101</v>
      </c>
      <c r="D8" s="25" t="s">
        <v>108</v>
      </c>
      <c r="E8" s="32" t="s">
        <v>109</v>
      </c>
      <c r="F8" s="32" t="s">
        <v>104</v>
      </c>
      <c r="G8" s="32" t="s">
        <v>105</v>
      </c>
      <c r="H8" s="32" t="s">
        <v>106</v>
      </c>
      <c r="I8" s="32" t="s">
        <v>110</v>
      </c>
      <c r="J8" s="32" t="s">
        <v>2</v>
      </c>
      <c r="K8" s="47"/>
      <c r="L8" s="26"/>
      <c r="M8" s="26"/>
      <c r="N8" s="26"/>
      <c r="O8" s="26"/>
      <c r="P8" s="26"/>
      <c r="Q8" s="26"/>
      <c r="R8" s="26"/>
      <c r="S8" s="26"/>
      <c r="T8" s="5"/>
      <c r="U8" s="20"/>
    </row>
    <row r="9" spans="1:21" x14ac:dyDescent="0.3">
      <c r="A9" s="30">
        <v>18002136</v>
      </c>
      <c r="B9" s="16">
        <v>0.89</v>
      </c>
      <c r="C9" s="16">
        <v>0.26</v>
      </c>
      <c r="D9" s="16">
        <v>0.34</v>
      </c>
      <c r="E9" s="16">
        <v>0.56999999999999995</v>
      </c>
      <c r="F9" s="16">
        <v>0.5</v>
      </c>
      <c r="G9" s="16">
        <v>0.57999999999999996</v>
      </c>
      <c r="H9" s="16">
        <v>0.56000000000000005</v>
      </c>
      <c r="I9" s="16">
        <v>0.79</v>
      </c>
      <c r="J9" s="17">
        <v>0.77</v>
      </c>
      <c r="K9" s="5"/>
      <c r="L9" s="7"/>
      <c r="M9" s="7"/>
      <c r="N9" s="7"/>
      <c r="O9" s="7"/>
      <c r="P9" s="7"/>
      <c r="Q9" s="7"/>
      <c r="R9" s="7"/>
      <c r="S9" s="7"/>
      <c r="T9" s="5"/>
    </row>
    <row r="10" spans="1:21" x14ac:dyDescent="0.3">
      <c r="A10" s="30">
        <v>18014049</v>
      </c>
      <c r="B10" s="16">
        <v>0.45</v>
      </c>
      <c r="C10" s="16">
        <v>0.37</v>
      </c>
      <c r="D10" s="16">
        <v>0.87</v>
      </c>
      <c r="E10" s="16">
        <v>0.67</v>
      </c>
      <c r="F10" s="16">
        <v>0.98</v>
      </c>
      <c r="G10" s="16">
        <v>0.78</v>
      </c>
      <c r="H10" s="16">
        <v>0.67</v>
      </c>
      <c r="I10" s="16">
        <v>1</v>
      </c>
      <c r="J10" s="17">
        <v>0.23</v>
      </c>
      <c r="K10" s="5"/>
      <c r="L10" s="7"/>
      <c r="M10" s="7"/>
      <c r="N10" s="7"/>
      <c r="O10" s="7"/>
      <c r="P10" s="7"/>
      <c r="Q10" s="7"/>
      <c r="R10" s="7"/>
      <c r="S10" s="7"/>
      <c r="T10" s="5"/>
    </row>
    <row r="11" spans="1:21" x14ac:dyDescent="0.3">
      <c r="A11" s="30">
        <v>18035665</v>
      </c>
      <c r="B11" s="16">
        <v>0.98</v>
      </c>
      <c r="C11" s="16">
        <v>0.87</v>
      </c>
      <c r="D11" s="16">
        <v>0.67</v>
      </c>
      <c r="E11" s="16">
        <v>0.78</v>
      </c>
      <c r="F11" s="16">
        <v>0.89</v>
      </c>
      <c r="G11" s="16">
        <v>0.9</v>
      </c>
      <c r="H11" s="16">
        <v>0.89</v>
      </c>
      <c r="I11" s="16">
        <v>0.98</v>
      </c>
      <c r="J11" s="17">
        <v>0.56000000000000005</v>
      </c>
      <c r="K11" s="5"/>
      <c r="L11" s="7"/>
      <c r="M11" s="7"/>
      <c r="N11" s="7"/>
      <c r="O11" s="7"/>
      <c r="P11" s="7"/>
      <c r="Q11" s="7"/>
      <c r="R11" s="7"/>
      <c r="S11" s="7"/>
      <c r="T11" s="5"/>
    </row>
    <row r="12" spans="1:21" x14ac:dyDescent="0.3">
      <c r="A12" s="30">
        <v>18048750</v>
      </c>
      <c r="B12" s="16">
        <v>0.68</v>
      </c>
      <c r="C12" s="16">
        <v>0.76</v>
      </c>
      <c r="D12" s="16">
        <v>0.67</v>
      </c>
      <c r="E12" s="16">
        <v>0.76</v>
      </c>
      <c r="F12" s="16">
        <v>0.57999999999999996</v>
      </c>
      <c r="G12" s="16">
        <v>0.47</v>
      </c>
      <c r="H12" s="16">
        <v>0.56999999999999995</v>
      </c>
      <c r="I12" s="16">
        <v>0.67</v>
      </c>
      <c r="J12" s="17">
        <v>0.83</v>
      </c>
      <c r="K12" s="5"/>
      <c r="L12" s="7"/>
      <c r="M12" s="7"/>
      <c r="N12" s="7"/>
      <c r="O12" s="7"/>
      <c r="P12" s="7"/>
      <c r="Q12" s="7"/>
      <c r="R12" s="7"/>
      <c r="S12" s="7"/>
      <c r="T12" s="5"/>
    </row>
    <row r="13" spans="1:21" x14ac:dyDescent="0.3">
      <c r="A13" s="33">
        <v>18049600</v>
      </c>
      <c r="B13" s="34">
        <v>0.76</v>
      </c>
      <c r="C13" s="34">
        <v>0.57999999999999996</v>
      </c>
      <c r="D13" s="34">
        <v>0.78</v>
      </c>
      <c r="E13" s="34">
        <v>0.73</v>
      </c>
      <c r="F13" s="34">
        <v>1</v>
      </c>
      <c r="G13" s="34">
        <v>0.98</v>
      </c>
      <c r="H13" s="34">
        <v>0.99</v>
      </c>
      <c r="I13" s="34">
        <v>0.76</v>
      </c>
      <c r="J13" s="48">
        <v>0.42</v>
      </c>
      <c r="K13" s="5"/>
      <c r="L13" s="7"/>
      <c r="M13" s="7"/>
      <c r="N13" s="7"/>
      <c r="O13" s="7"/>
      <c r="P13" s="7"/>
      <c r="Q13" s="7"/>
      <c r="R13" s="7"/>
      <c r="S13" s="7"/>
      <c r="T13" s="5"/>
    </row>
    <row r="14" spans="1:21" x14ac:dyDescent="0.3">
      <c r="A14" s="44"/>
      <c r="B14" s="50"/>
      <c r="C14" s="50"/>
      <c r="D14" s="50"/>
      <c r="E14" s="50"/>
      <c r="F14" s="50"/>
      <c r="G14" s="50"/>
      <c r="H14" s="50"/>
      <c r="I14" s="50"/>
      <c r="J14" s="51"/>
      <c r="K14" s="7"/>
      <c r="L14" s="7"/>
      <c r="M14" s="7"/>
      <c r="N14" s="7"/>
      <c r="O14" s="7"/>
      <c r="P14" s="7"/>
      <c r="Q14" s="7"/>
      <c r="R14" s="7"/>
      <c r="S14" s="7"/>
    </row>
    <row r="15" spans="1:21" x14ac:dyDescent="0.3">
      <c r="A15" s="44"/>
      <c r="B15" s="50"/>
      <c r="C15" s="50"/>
      <c r="D15" s="50"/>
      <c r="E15" s="50"/>
      <c r="F15" s="50"/>
      <c r="G15" s="50"/>
      <c r="H15" s="50"/>
      <c r="I15" s="50"/>
      <c r="J15" s="51"/>
      <c r="K15" s="7"/>
      <c r="L15" s="7"/>
      <c r="M15" s="7"/>
      <c r="N15" s="7"/>
      <c r="O15" s="7"/>
      <c r="P15" s="7"/>
      <c r="Q15" s="7"/>
      <c r="R15" s="7"/>
      <c r="S15" s="7"/>
    </row>
    <row r="16" spans="1:21" x14ac:dyDescent="0.3">
      <c r="A16" s="44"/>
      <c r="B16" s="50"/>
      <c r="C16" s="50"/>
      <c r="D16" s="50"/>
      <c r="E16" s="50"/>
      <c r="F16" s="50"/>
      <c r="G16" s="50"/>
      <c r="H16" s="50"/>
      <c r="I16" s="50"/>
      <c r="J16" s="51"/>
      <c r="K16" s="7"/>
      <c r="L16" s="7"/>
      <c r="M16" s="7"/>
      <c r="N16" s="7"/>
      <c r="O16" s="7"/>
      <c r="P16" s="7"/>
      <c r="Q16" s="7"/>
      <c r="R16" s="7"/>
      <c r="S16" s="7"/>
    </row>
    <row r="17" spans="1:19" x14ac:dyDescent="0.3">
      <c r="A17" s="44"/>
      <c r="B17" s="50"/>
      <c r="C17" s="50"/>
      <c r="D17" s="50"/>
      <c r="E17" s="50"/>
      <c r="F17" s="50"/>
      <c r="G17" s="50"/>
      <c r="H17" s="50"/>
      <c r="I17" s="50"/>
      <c r="J17" s="51"/>
      <c r="K17" s="7"/>
      <c r="L17" s="7"/>
      <c r="M17" s="7"/>
      <c r="N17" s="7"/>
      <c r="O17" s="7"/>
      <c r="P17" s="7"/>
      <c r="Q17" s="7"/>
      <c r="R17" s="7"/>
      <c r="S17" s="7"/>
    </row>
    <row r="18" spans="1:19" x14ac:dyDescent="0.3">
      <c r="A18" s="44"/>
      <c r="B18" s="50"/>
      <c r="C18" s="50"/>
      <c r="D18" s="50"/>
      <c r="E18" s="50"/>
      <c r="F18" s="50"/>
      <c r="G18" s="50"/>
      <c r="H18" s="50"/>
      <c r="I18" s="50"/>
      <c r="J18" s="51"/>
      <c r="K18" s="7"/>
      <c r="L18" s="7"/>
      <c r="M18" s="7"/>
      <c r="N18" s="7"/>
      <c r="O18" s="7"/>
      <c r="P18" s="7"/>
      <c r="Q18" s="7"/>
      <c r="R18" s="7"/>
      <c r="S18" s="7"/>
    </row>
    <row r="19" spans="1:19" x14ac:dyDescent="0.3">
      <c r="A19" s="44"/>
      <c r="B19" s="50"/>
      <c r="C19" s="50"/>
      <c r="D19" s="50"/>
      <c r="E19" s="50"/>
      <c r="F19" s="50"/>
      <c r="G19" s="50"/>
      <c r="H19" s="50"/>
      <c r="I19" s="50"/>
      <c r="J19" s="51"/>
      <c r="K19" s="7"/>
      <c r="L19" s="7"/>
      <c r="M19" s="7"/>
      <c r="N19" s="7"/>
      <c r="O19" s="7"/>
      <c r="P19" s="7"/>
      <c r="Q19" s="7"/>
      <c r="R19" s="7"/>
      <c r="S19" s="7"/>
    </row>
    <row r="20" spans="1:19" x14ac:dyDescent="0.3">
      <c r="A20" s="44"/>
      <c r="B20" s="50"/>
      <c r="C20" s="50"/>
      <c r="D20" s="50"/>
      <c r="E20" s="50"/>
      <c r="F20" s="50"/>
      <c r="G20" s="50"/>
      <c r="H20" s="50"/>
      <c r="I20" s="50"/>
      <c r="J20" s="51"/>
      <c r="K20" s="7"/>
      <c r="L20" s="7"/>
      <c r="M20" s="7"/>
      <c r="N20" s="7"/>
      <c r="O20" s="7"/>
      <c r="P20" s="7"/>
      <c r="Q20" s="7"/>
      <c r="R20" s="7"/>
      <c r="S20" s="7"/>
    </row>
    <row r="21" spans="1:19" x14ac:dyDescent="0.3">
      <c r="A21" s="44"/>
      <c r="B21" s="50"/>
      <c r="C21" s="50"/>
      <c r="D21" s="50"/>
      <c r="E21" s="50"/>
      <c r="F21" s="50"/>
      <c r="G21" s="50"/>
      <c r="H21" s="50"/>
      <c r="I21" s="50"/>
      <c r="J21" s="51"/>
      <c r="K21" s="7"/>
      <c r="L21" s="7"/>
      <c r="M21" s="7"/>
      <c r="N21" s="7"/>
      <c r="O21" s="7"/>
      <c r="P21" s="7"/>
      <c r="Q21" s="7"/>
      <c r="R21" s="7"/>
      <c r="S21" s="7"/>
    </row>
    <row r="22" spans="1:19" x14ac:dyDescent="0.3">
      <c r="A22" s="44"/>
      <c r="B22" s="50"/>
      <c r="C22" s="50"/>
      <c r="D22" s="50"/>
      <c r="E22" s="50"/>
      <c r="F22" s="50"/>
      <c r="G22" s="50"/>
      <c r="H22" s="50"/>
      <c r="I22" s="50"/>
      <c r="J22" s="51"/>
      <c r="K22" s="7"/>
      <c r="L22" s="7"/>
      <c r="M22" s="7"/>
      <c r="N22" s="7"/>
      <c r="O22" s="7"/>
      <c r="P22" s="7"/>
      <c r="Q22" s="7"/>
      <c r="R22" s="7"/>
      <c r="S22" s="7"/>
    </row>
    <row r="23" spans="1:19" x14ac:dyDescent="0.3">
      <c r="A23" s="44"/>
      <c r="B23" s="50"/>
      <c r="C23" s="50"/>
      <c r="D23" s="50"/>
      <c r="E23" s="50"/>
      <c r="F23" s="50"/>
      <c r="G23" s="50"/>
      <c r="H23" s="50"/>
      <c r="I23" s="50"/>
      <c r="J23" s="51"/>
      <c r="K23" s="7"/>
      <c r="L23" s="7"/>
      <c r="M23" s="7"/>
      <c r="N23" s="7"/>
      <c r="O23" s="7"/>
      <c r="P23" s="7"/>
      <c r="Q23" s="7"/>
      <c r="R23" s="7"/>
      <c r="S23" s="7"/>
    </row>
    <row r="24" spans="1:19" x14ac:dyDescent="0.3">
      <c r="A24" s="44"/>
      <c r="B24" s="50"/>
      <c r="C24" s="50"/>
      <c r="D24" s="50"/>
      <c r="E24" s="50"/>
      <c r="F24" s="50"/>
      <c r="G24" s="50"/>
      <c r="H24" s="50"/>
      <c r="I24" s="50"/>
      <c r="J24" s="51"/>
      <c r="K24" s="7"/>
      <c r="L24" s="7"/>
      <c r="M24" s="7"/>
      <c r="N24" s="7"/>
      <c r="O24" s="7"/>
      <c r="P24" s="7"/>
      <c r="Q24" s="7"/>
      <c r="R24" s="7"/>
      <c r="S24" s="7"/>
    </row>
    <row r="25" spans="1:19" x14ac:dyDescent="0.3">
      <c r="A25" s="44"/>
      <c r="B25" s="50"/>
      <c r="C25" s="50"/>
      <c r="D25" s="50"/>
      <c r="E25" s="50"/>
      <c r="F25" s="50"/>
      <c r="G25" s="50"/>
      <c r="H25" s="50"/>
      <c r="I25" s="50"/>
      <c r="J25" s="51"/>
      <c r="K25" s="7"/>
      <c r="L25" s="7"/>
      <c r="M25" s="7"/>
      <c r="N25" s="7"/>
      <c r="O25" s="7"/>
      <c r="P25" s="7"/>
      <c r="Q25" s="7"/>
      <c r="R25" s="7"/>
      <c r="S25" s="7"/>
    </row>
    <row r="26" spans="1:19" x14ac:dyDescent="0.3">
      <c r="A26" s="44"/>
      <c r="B26" s="50"/>
      <c r="C26" s="50"/>
      <c r="D26" s="50"/>
      <c r="E26" s="50"/>
      <c r="F26" s="50"/>
      <c r="G26" s="50"/>
      <c r="H26" s="50"/>
      <c r="I26" s="50"/>
      <c r="J26" s="51"/>
      <c r="K26" s="7"/>
      <c r="L26" s="7"/>
      <c r="M26" s="7"/>
      <c r="N26" s="7"/>
      <c r="O26" s="7"/>
      <c r="P26" s="7"/>
      <c r="Q26" s="7"/>
      <c r="R26" s="7"/>
      <c r="S26" s="7"/>
    </row>
    <row r="27" spans="1:19" x14ac:dyDescent="0.3">
      <c r="A27" s="44"/>
      <c r="B27" s="50"/>
      <c r="C27" s="50"/>
      <c r="D27" s="50"/>
      <c r="E27" s="50"/>
      <c r="F27" s="50"/>
      <c r="G27" s="50"/>
      <c r="H27" s="50"/>
      <c r="I27" s="50"/>
      <c r="J27" s="51"/>
      <c r="K27" s="7"/>
      <c r="L27" s="7"/>
      <c r="M27" s="7"/>
      <c r="N27" s="7"/>
      <c r="O27" s="7"/>
      <c r="P27" s="7"/>
      <c r="Q27" s="7"/>
      <c r="R27" s="7"/>
      <c r="S27" s="7"/>
    </row>
    <row r="28" spans="1:19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1"/>
      <c r="L28" s="7"/>
      <c r="M28" s="7"/>
      <c r="N28" s="7"/>
      <c r="O28" s="7"/>
      <c r="P28" s="7"/>
      <c r="Q28" s="7"/>
      <c r="R28" s="7"/>
      <c r="S28" s="7"/>
    </row>
  </sheetData>
  <mergeCells count="7">
    <mergeCell ref="B3:J3"/>
    <mergeCell ref="M3:S3"/>
    <mergeCell ref="A1:T1"/>
    <mergeCell ref="N7:R7"/>
    <mergeCell ref="B6:E6"/>
    <mergeCell ref="C5:H5"/>
    <mergeCell ref="F6:I6"/>
  </mergeCells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50402-4BB7-4D7A-9EF9-CF2E385D6D31}">
  <sheetPr codeName="Sheet4"/>
  <dimension ref="A1:T28"/>
  <sheetViews>
    <sheetView workbookViewId="0">
      <selection activeCell="H2" sqref="H1:H1048576"/>
    </sheetView>
  </sheetViews>
  <sheetFormatPr defaultColWidth="9.109375" defaultRowHeight="14.4" x14ac:dyDescent="0.3"/>
  <cols>
    <col min="1" max="1" width="3.5546875" style="1" customWidth="1"/>
    <col min="2" max="2" width="14.6640625" style="1" bestFit="1" customWidth="1"/>
    <col min="3" max="3" width="13.5546875" style="1" bestFit="1" customWidth="1"/>
    <col min="4" max="4" width="15.109375" style="1" bestFit="1" customWidth="1"/>
    <col min="5" max="5" width="11.88671875" style="1" bestFit="1" customWidth="1"/>
    <col min="6" max="6" width="15.6640625" style="1" bestFit="1" customWidth="1"/>
    <col min="7" max="7" width="14.6640625" style="1" bestFit="1" customWidth="1"/>
    <col min="8" max="8" width="15.109375" style="1" bestFit="1" customWidth="1"/>
    <col min="9" max="9" width="14.109375" style="1" bestFit="1" customWidth="1"/>
    <col min="10" max="10" width="17.6640625" style="1" bestFit="1" customWidth="1"/>
    <col min="11" max="11" width="11.77734375" style="1" customWidth="1"/>
    <col min="12" max="12" width="15.109375" style="1" bestFit="1" customWidth="1"/>
    <col min="13" max="13" width="16.44140625" style="1" customWidth="1"/>
    <col min="14" max="14" width="17.5546875" style="1" customWidth="1"/>
    <col min="15" max="15" width="56.109375" style="1" customWidth="1"/>
    <col min="16" max="16384" width="9.109375" style="1"/>
  </cols>
  <sheetData>
    <row r="1" spans="1:20" ht="20.399999999999999" x14ac:dyDescent="0.35">
      <c r="A1" s="196" t="s">
        <v>3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</row>
    <row r="3" spans="1:20" x14ac:dyDescent="0.3">
      <c r="E3" s="190"/>
      <c r="F3" s="190"/>
      <c r="G3" s="190"/>
      <c r="H3" s="190"/>
      <c r="I3" s="190"/>
      <c r="J3" s="190"/>
    </row>
    <row r="6" spans="1:20" ht="15.6" x14ac:dyDescent="0.3">
      <c r="B6" s="198" t="s">
        <v>45</v>
      </c>
      <c r="C6" s="199"/>
      <c r="D6" s="199"/>
      <c r="E6" s="199"/>
      <c r="F6" s="199"/>
      <c r="G6" s="199"/>
      <c r="H6" s="63"/>
      <c r="I6" s="63"/>
      <c r="J6" s="63"/>
      <c r="K6" s="63"/>
      <c r="L6" s="63"/>
      <c r="M6" s="63"/>
    </row>
    <row r="7" spans="1:20" ht="15.6" x14ac:dyDescent="0.3">
      <c r="A7" s="21"/>
      <c r="B7" s="22" t="s">
        <v>46</v>
      </c>
      <c r="C7" s="23">
        <f>AVERAGE(C9:C13)</f>
        <v>51.8</v>
      </c>
      <c r="D7" s="23">
        <f t="shared" ref="D7:J7" si="0">AVERAGE(D9:D13)</f>
        <v>57</v>
      </c>
      <c r="E7" s="23">
        <f t="shared" si="0"/>
        <v>60.2</v>
      </c>
      <c r="F7" s="23">
        <f t="shared" si="0"/>
        <v>48</v>
      </c>
      <c r="G7" s="23">
        <f t="shared" si="0"/>
        <v>56.8</v>
      </c>
      <c r="H7" s="23">
        <f t="shared" si="0"/>
        <v>61</v>
      </c>
      <c r="I7" s="23">
        <f t="shared" si="0"/>
        <v>55.6</v>
      </c>
      <c r="J7" s="23">
        <f t="shared" si="0"/>
        <v>53.4</v>
      </c>
      <c r="K7" s="23">
        <f>AVERAGE(K9:K13)</f>
        <v>55.475000000000001</v>
      </c>
      <c r="L7" s="53" t="str">
        <f>IF(K7&gt;70,"FIRST", IF(K7&gt;65,"2-1", IF(K7&gt;55, "2-2",IF(K7&gt;40, "2-2", "THIRD"))))</f>
        <v>2-2</v>
      </c>
      <c r="M7" s="123">
        <f>AVERAGE(C7:F7)</f>
        <v>54.25</v>
      </c>
      <c r="N7" s="124">
        <f>AVERAGE(G7:J7)</f>
        <v>56.7</v>
      </c>
    </row>
    <row r="8" spans="1:20" ht="15.6" x14ac:dyDescent="0.3">
      <c r="B8" s="45" t="s">
        <v>0</v>
      </c>
      <c r="C8" s="40" t="s">
        <v>100</v>
      </c>
      <c r="D8" s="40" t="s">
        <v>101</v>
      </c>
      <c r="E8" s="40" t="s">
        <v>102</v>
      </c>
      <c r="F8" s="40" t="s">
        <v>103</v>
      </c>
      <c r="G8" s="40" t="s">
        <v>104</v>
      </c>
      <c r="H8" s="40" t="s">
        <v>105</v>
      </c>
      <c r="I8" s="40" t="s">
        <v>106</v>
      </c>
      <c r="J8" s="40" t="s">
        <v>107</v>
      </c>
      <c r="K8" s="64" t="s">
        <v>4</v>
      </c>
      <c r="L8" s="40" t="s">
        <v>63</v>
      </c>
      <c r="M8" s="65" t="s">
        <v>78</v>
      </c>
      <c r="N8" s="119" t="s">
        <v>79</v>
      </c>
      <c r="O8" s="65" t="s">
        <v>70</v>
      </c>
    </row>
    <row r="9" spans="1:20" ht="15.6" x14ac:dyDescent="0.3">
      <c r="B9" s="41">
        <v>18002136</v>
      </c>
      <c r="C9" s="42">
        <v>75</v>
      </c>
      <c r="D9" s="42">
        <v>66</v>
      </c>
      <c r="E9" s="42">
        <v>54</v>
      </c>
      <c r="F9" s="42">
        <v>57</v>
      </c>
      <c r="G9" s="42">
        <v>80</v>
      </c>
      <c r="H9" s="42">
        <v>85</v>
      </c>
      <c r="I9" s="42">
        <v>78</v>
      </c>
      <c r="J9" s="42">
        <v>73</v>
      </c>
      <c r="K9" s="62">
        <f>(C9+D9+E9+F9+G9+H9+I9+J9)/8</f>
        <v>71</v>
      </c>
      <c r="L9" s="127" t="str">
        <f t="shared" ref="L9:L13" si="1">IF(K9&gt;70,"FIRST", IF(K9&gt;60,"2-1", IF(K9&gt;50, "2-2",IF(K9&gt;30, "THIRD","FAILED"))))</f>
        <v>FIRST</v>
      </c>
      <c r="M9" s="120">
        <f>AVERAGE(Table8[[#This Row],[Business  ]:[Enterprise   ]])</f>
        <v>63</v>
      </c>
      <c r="N9" s="121">
        <f>AVERAGE(Table8[[#This Row],[Databases]:[Supply Chain]])</f>
        <v>79</v>
      </c>
      <c r="O9" s="80" t="str">
        <f>"Very disciplined student"</f>
        <v>Very disciplined student</v>
      </c>
    </row>
    <row r="10" spans="1:20" ht="15.6" x14ac:dyDescent="0.3">
      <c r="B10" s="41">
        <v>18014049</v>
      </c>
      <c r="C10" s="42">
        <v>83</v>
      </c>
      <c r="D10" s="42">
        <v>77</v>
      </c>
      <c r="E10" s="42">
        <v>85</v>
      </c>
      <c r="F10" s="42">
        <v>72</v>
      </c>
      <c r="G10" s="42">
        <v>75</v>
      </c>
      <c r="H10" s="42">
        <v>69</v>
      </c>
      <c r="I10" s="42">
        <v>67</v>
      </c>
      <c r="J10" s="42">
        <v>68</v>
      </c>
      <c r="K10" s="62">
        <f t="shared" ref="K10:K13" si="2">(C10+D10+E10+F10+G10+H10+I10+J10)/8</f>
        <v>74.5</v>
      </c>
      <c r="L10" s="127" t="str">
        <f t="shared" si="1"/>
        <v>FIRST</v>
      </c>
      <c r="M10" s="120">
        <f>AVERAGE(Table8[[#This Row],[Business  ]:[Enterprise   ]])</f>
        <v>79.25</v>
      </c>
      <c r="N10" s="121">
        <f>AVERAGE(Table8[[#This Row],[Databases]:[Supply Chain]])</f>
        <v>69.75</v>
      </c>
      <c r="O10" s="80" t="str">
        <f>"Productive, Lacks time management"</f>
        <v>Productive, Lacks time management</v>
      </c>
    </row>
    <row r="11" spans="1:20" ht="15.6" x14ac:dyDescent="0.3">
      <c r="B11" s="41">
        <v>18035665</v>
      </c>
      <c r="C11" s="42">
        <v>56</v>
      </c>
      <c r="D11" s="42">
        <v>63</v>
      </c>
      <c r="E11" s="42">
        <v>67</v>
      </c>
      <c r="F11" s="42">
        <v>61</v>
      </c>
      <c r="G11" s="42">
        <v>58</v>
      </c>
      <c r="H11" s="42">
        <v>73</v>
      </c>
      <c r="I11" s="42">
        <v>67</v>
      </c>
      <c r="J11" s="42">
        <v>66</v>
      </c>
      <c r="K11" s="62">
        <f>(C11+D11+E11+F11+G11+H11+I11+J11)/8</f>
        <v>63.875</v>
      </c>
      <c r="L11" s="128" t="str">
        <f t="shared" si="1"/>
        <v>2-1</v>
      </c>
      <c r="M11" s="120">
        <f>AVERAGE(Table8[[#This Row],[Business  ]:[Enterprise   ]])</f>
        <v>61.75</v>
      </c>
      <c r="N11" s="121">
        <f>AVERAGE(Table8[[#This Row],[Databases]:[Supply Chain]])</f>
        <v>66</v>
      </c>
      <c r="O11" s="80" t="str">
        <f>"Has interest to learn but doesn’t fully understand"</f>
        <v>Has interest to learn but doesn’t fully understand</v>
      </c>
    </row>
    <row r="12" spans="1:20" ht="15.6" x14ac:dyDescent="0.3">
      <c r="B12" s="41">
        <v>18048750</v>
      </c>
      <c r="C12" s="42">
        <v>33</v>
      </c>
      <c r="D12" s="42">
        <v>45</v>
      </c>
      <c r="E12" s="42">
        <v>55</v>
      </c>
      <c r="F12" s="42">
        <v>25</v>
      </c>
      <c r="G12" s="42">
        <v>41</v>
      </c>
      <c r="H12" s="42">
        <v>38</v>
      </c>
      <c r="I12" s="42">
        <v>46</v>
      </c>
      <c r="J12" s="42">
        <v>32</v>
      </c>
      <c r="K12" s="62">
        <f>(C12+D12+E12+F12+G12+H12+I12+J12)/8</f>
        <v>39.375</v>
      </c>
      <c r="L12" s="130" t="str">
        <f t="shared" si="1"/>
        <v>THIRD</v>
      </c>
      <c r="M12" s="120">
        <f>AVERAGE(Table8[[#This Row],[Business  ]:[Enterprise   ]])</f>
        <v>39.5</v>
      </c>
      <c r="N12" s="121">
        <f>AVERAGE(Table8[[#This Row],[Databases]:[Supply Chain]])</f>
        <v>39.25</v>
      </c>
      <c r="O12" s="80" t="str">
        <f>"Needs improvement with study hours"</f>
        <v>Needs improvement with study hours</v>
      </c>
    </row>
    <row r="13" spans="1:20" ht="15.6" x14ac:dyDescent="0.3">
      <c r="B13" s="41">
        <v>18049600</v>
      </c>
      <c r="C13" s="42">
        <v>12</v>
      </c>
      <c r="D13" s="42">
        <v>34</v>
      </c>
      <c r="E13" s="42">
        <v>40</v>
      </c>
      <c r="F13" s="42">
        <v>25</v>
      </c>
      <c r="G13" s="42">
        <v>30</v>
      </c>
      <c r="H13" s="42">
        <v>40</v>
      </c>
      <c r="I13" s="42">
        <v>20</v>
      </c>
      <c r="J13" s="42">
        <v>28</v>
      </c>
      <c r="K13" s="62">
        <f t="shared" si="2"/>
        <v>28.625</v>
      </c>
      <c r="L13" s="129" t="str">
        <f t="shared" si="1"/>
        <v>FAILED</v>
      </c>
      <c r="M13" s="122">
        <f>AVERAGE(Table8[[#This Row],[Business  ]:[Enterprise   ]])</f>
        <v>27.75</v>
      </c>
      <c r="N13" s="121">
        <f>AVERAGE(Table8[[#This Row],[Databases]:[Supply Chain]])</f>
        <v>29.5</v>
      </c>
      <c r="O13" s="80" t="str">
        <f>"Rarely showed up in classes"</f>
        <v>Rarely showed up in classes</v>
      </c>
    </row>
    <row r="14" spans="1:20" ht="15.6" x14ac:dyDescent="0.3">
      <c r="B14" s="41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20" ht="15.6" x14ac:dyDescent="0.3">
      <c r="B15" s="41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20" ht="15.6" x14ac:dyDescent="0.3">
      <c r="B16" s="41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2:12" ht="15.6" x14ac:dyDescent="0.3">
      <c r="B17" s="41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2:12" ht="15.6" x14ac:dyDescent="0.3">
      <c r="B18" s="41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2:12" ht="15.6" x14ac:dyDescent="0.3">
      <c r="B19" s="41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2:12" ht="15.6" x14ac:dyDescent="0.3">
      <c r="B20" s="41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2:12" ht="15.6" x14ac:dyDescent="0.3">
      <c r="B21" s="41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2:12" ht="15.6" x14ac:dyDescent="0.3">
      <c r="B22" s="41"/>
      <c r="C22" s="2"/>
      <c r="D22" s="43"/>
      <c r="E22" s="2"/>
      <c r="F22" s="2"/>
      <c r="G22" s="2"/>
      <c r="H22" s="2"/>
      <c r="I22" s="2"/>
      <c r="J22" s="2"/>
      <c r="K22" s="2"/>
      <c r="L22" s="2"/>
    </row>
    <row r="23" spans="2:12" ht="15.6" x14ac:dyDescent="0.3">
      <c r="B23" s="41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2:12" ht="15.6" x14ac:dyDescent="0.3">
      <c r="B24" s="41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2:12" ht="15.6" x14ac:dyDescent="0.3">
      <c r="B25" s="41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2:12" ht="15.6" x14ac:dyDescent="0.3">
      <c r="B26" s="41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2:12" ht="15.6" x14ac:dyDescent="0.3">
      <c r="B27" s="41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2:12" ht="15.6" x14ac:dyDescent="0.3">
      <c r="B28" s="41"/>
      <c r="C28" s="2"/>
      <c r="D28" s="2"/>
      <c r="E28" s="2"/>
      <c r="F28" s="2"/>
      <c r="G28" s="2"/>
      <c r="H28" s="2"/>
      <c r="I28" s="2"/>
      <c r="J28" s="2"/>
      <c r="K28" s="2"/>
      <c r="L28" s="2"/>
    </row>
  </sheetData>
  <mergeCells count="3">
    <mergeCell ref="A1:T1"/>
    <mergeCell ref="B6:G6"/>
    <mergeCell ref="E3:J3"/>
  </mergeCells>
  <phoneticPr fontId="10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3D405-9FE0-4D72-92DC-7862A9EC1AD1}">
  <sheetPr codeName="Sheet7"/>
  <dimension ref="A1:T14"/>
  <sheetViews>
    <sheetView workbookViewId="0">
      <selection activeCell="H6" sqref="A6:H6"/>
    </sheetView>
  </sheetViews>
  <sheetFormatPr defaultColWidth="19.6640625" defaultRowHeight="14.4" x14ac:dyDescent="0.3"/>
  <cols>
    <col min="1" max="1" width="35.109375" style="1" bestFit="1" customWidth="1"/>
    <col min="2" max="2" width="27.6640625" style="1" bestFit="1" customWidth="1"/>
    <col min="3" max="3" width="24.44140625" style="1" bestFit="1" customWidth="1"/>
    <col min="4" max="4" width="21.6640625" style="1" bestFit="1" customWidth="1"/>
    <col min="5" max="5" width="24.88671875" style="1" bestFit="1" customWidth="1"/>
    <col min="6" max="6" width="30.5546875" style="1" bestFit="1" customWidth="1"/>
    <col min="7" max="7" width="31" style="1" bestFit="1" customWidth="1"/>
    <col min="8" max="8" width="29" style="1" bestFit="1" customWidth="1"/>
    <col min="9" max="16384" width="19.6640625" style="1"/>
  </cols>
  <sheetData>
    <row r="1" spans="1:20" ht="20.399999999999999" x14ac:dyDescent="0.35">
      <c r="A1" s="200" t="s">
        <v>5</v>
      </c>
      <c r="B1" s="200"/>
      <c r="C1" s="200"/>
      <c r="D1" s="200"/>
      <c r="E1" s="200"/>
      <c r="F1" s="200"/>
      <c r="G1" s="200"/>
      <c r="H1" s="200"/>
      <c r="I1" s="200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</row>
    <row r="2" spans="1:20" x14ac:dyDescent="0.3">
      <c r="C2" s="190"/>
      <c r="D2" s="190"/>
    </row>
    <row r="5" spans="1:20" x14ac:dyDescent="0.3">
      <c r="A5" s="4" t="s">
        <v>8</v>
      </c>
      <c r="B5" s="4" t="s">
        <v>9</v>
      </c>
      <c r="C5" s="4" t="s">
        <v>10</v>
      </c>
      <c r="D5" s="4" t="s">
        <v>11</v>
      </c>
      <c r="E5" s="4" t="s">
        <v>12</v>
      </c>
      <c r="F5" s="4" t="s">
        <v>13</v>
      </c>
      <c r="G5" s="4" t="s">
        <v>31</v>
      </c>
      <c r="H5" s="4" t="s">
        <v>14</v>
      </c>
    </row>
    <row r="6" spans="1:20" x14ac:dyDescent="0.3">
      <c r="A6" s="110" t="s">
        <v>100</v>
      </c>
      <c r="B6" s="110" t="s">
        <v>101</v>
      </c>
      <c r="C6" s="110" t="s">
        <v>102</v>
      </c>
      <c r="D6" s="110" t="s">
        <v>103</v>
      </c>
      <c r="E6" s="110" t="s">
        <v>104</v>
      </c>
      <c r="F6" s="110" t="s">
        <v>105</v>
      </c>
      <c r="G6" s="110" t="s">
        <v>106</v>
      </c>
      <c r="H6" s="110" t="s">
        <v>107</v>
      </c>
    </row>
    <row r="7" spans="1:20" x14ac:dyDescent="0.3">
      <c r="A7" s="109" t="s">
        <v>15</v>
      </c>
      <c r="B7" s="109" t="s">
        <v>6</v>
      </c>
      <c r="C7" s="109" t="s">
        <v>22</v>
      </c>
      <c r="D7" s="109" t="s">
        <v>23</v>
      </c>
      <c r="E7" s="109" t="s">
        <v>24</v>
      </c>
      <c r="F7" s="109" t="s">
        <v>27</v>
      </c>
      <c r="G7" s="109" t="s">
        <v>32</v>
      </c>
      <c r="H7" s="109" t="s">
        <v>75</v>
      </c>
      <c r="J7" s="5"/>
      <c r="K7" s="5"/>
    </row>
    <row r="8" spans="1:20" ht="17.399999999999999" x14ac:dyDescent="0.3">
      <c r="A8" s="109" t="s">
        <v>17</v>
      </c>
      <c r="B8" s="109" t="s">
        <v>18</v>
      </c>
      <c r="C8" s="109" t="s">
        <v>21</v>
      </c>
      <c r="D8" s="109" t="s">
        <v>39</v>
      </c>
      <c r="E8" s="109" t="s">
        <v>25</v>
      </c>
      <c r="F8" s="109" t="s">
        <v>28</v>
      </c>
      <c r="G8" s="109" t="s">
        <v>33</v>
      </c>
      <c r="H8" s="109" t="s">
        <v>36</v>
      </c>
      <c r="J8" s="102"/>
      <c r="K8" s="103"/>
    </row>
    <row r="9" spans="1:20" x14ac:dyDescent="0.3">
      <c r="A9" s="109" t="s">
        <v>16</v>
      </c>
      <c r="B9" s="109" t="s">
        <v>20</v>
      </c>
      <c r="C9" s="109" t="str">
        <f t="shared" ref="C9:D11" si="0">"=//="</f>
        <v>=//=</v>
      </c>
      <c r="D9" s="109" t="str">
        <f t="shared" si="0"/>
        <v>=//=</v>
      </c>
      <c r="E9" s="109" t="s">
        <v>26</v>
      </c>
      <c r="F9" s="109" t="s">
        <v>29</v>
      </c>
      <c r="G9" s="109" t="s">
        <v>34</v>
      </c>
      <c r="H9" s="109" t="s">
        <v>37</v>
      </c>
      <c r="J9" s="104"/>
      <c r="K9" s="105"/>
    </row>
    <row r="10" spans="1:20" x14ac:dyDescent="0.3">
      <c r="A10" s="109" t="str">
        <f>"=//="</f>
        <v>=//=</v>
      </c>
      <c r="B10" s="109" t="s">
        <v>19</v>
      </c>
      <c r="C10" s="109" t="str">
        <f t="shared" si="0"/>
        <v>=//=</v>
      </c>
      <c r="D10" s="109" t="str">
        <f t="shared" si="0"/>
        <v>=//=</v>
      </c>
      <c r="E10" s="109" t="str">
        <f>"=//="</f>
        <v>=//=</v>
      </c>
      <c r="F10" s="109" t="str">
        <f>"=//="</f>
        <v>=//=</v>
      </c>
      <c r="G10" s="109" t="s">
        <v>35</v>
      </c>
      <c r="H10" s="109" t="s">
        <v>38</v>
      </c>
      <c r="J10" s="104"/>
      <c r="K10" s="105"/>
    </row>
    <row r="11" spans="1:20" x14ac:dyDescent="0.3">
      <c r="A11" s="109" t="str">
        <f>"=//="</f>
        <v>=//=</v>
      </c>
      <c r="B11" s="109" t="s">
        <v>30</v>
      </c>
      <c r="C11" s="109" t="str">
        <f t="shared" si="0"/>
        <v>=//=</v>
      </c>
      <c r="D11" s="109" t="str">
        <f t="shared" si="0"/>
        <v>=//=</v>
      </c>
      <c r="E11" s="109" t="str">
        <f>"=//="</f>
        <v>=//=</v>
      </c>
      <c r="F11" s="109" t="str">
        <f>"=//="</f>
        <v>=//=</v>
      </c>
      <c r="G11" s="109" t="str">
        <f>"=//="</f>
        <v>=//=</v>
      </c>
      <c r="H11" s="109" t="str">
        <f>"=//="</f>
        <v>=//=</v>
      </c>
      <c r="J11" s="104"/>
      <c r="K11" s="105"/>
    </row>
    <row r="12" spans="1:20" x14ac:dyDescent="0.3">
      <c r="J12" s="104"/>
      <c r="K12" s="106"/>
    </row>
    <row r="13" spans="1:20" x14ac:dyDescent="0.3">
      <c r="J13" s="104"/>
      <c r="K13" s="107"/>
    </row>
    <row r="14" spans="1:20" x14ac:dyDescent="0.3">
      <c r="J14" s="5"/>
      <c r="K14" s="5"/>
    </row>
  </sheetData>
  <mergeCells count="2">
    <mergeCell ref="A1:I1"/>
    <mergeCell ref="C2: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5BC3E-18CE-4657-818F-9E2503277AA1}">
  <sheetPr codeName="Sheet5"/>
  <dimension ref="A1:T65"/>
  <sheetViews>
    <sheetView topLeftCell="A16" zoomScale="106" zoomScaleNormal="106" workbookViewId="0">
      <selection activeCell="G36" sqref="G36"/>
    </sheetView>
  </sheetViews>
  <sheetFormatPr defaultColWidth="19.6640625" defaultRowHeight="14.4" x14ac:dyDescent="0.3"/>
  <cols>
    <col min="1" max="1" width="21.5546875" style="1" bestFit="1" customWidth="1"/>
    <col min="2" max="2" width="32" style="1" bestFit="1" customWidth="1"/>
    <col min="3" max="3" width="15.6640625" style="1" bestFit="1" customWidth="1"/>
    <col min="4" max="4" width="27.6640625" style="1" customWidth="1"/>
    <col min="5" max="5" width="17.6640625" style="1" bestFit="1" customWidth="1"/>
    <col min="6" max="6" width="27.109375" style="1" customWidth="1"/>
    <col min="7" max="7" width="16.6640625" style="1" customWidth="1"/>
    <col min="8" max="8" width="20.109375" style="1" bestFit="1" customWidth="1"/>
    <col min="9" max="9" width="24.5546875" style="1" customWidth="1"/>
    <col min="10" max="10" width="23.109375" style="1" bestFit="1" customWidth="1"/>
    <col min="11" max="11" width="19.6640625" style="1"/>
    <col min="12" max="12" width="27.77734375" style="1" bestFit="1" customWidth="1"/>
    <col min="13" max="13" width="13" style="1" bestFit="1" customWidth="1"/>
    <col min="14" max="14" width="28.21875" style="1" bestFit="1" customWidth="1"/>
    <col min="15" max="15" width="19.6640625" style="1"/>
    <col min="16" max="16" width="24.33203125" style="1" bestFit="1" customWidth="1"/>
    <col min="17" max="16384" width="19.6640625" style="1"/>
  </cols>
  <sheetData>
    <row r="1" spans="1:20" ht="20.399999999999999" x14ac:dyDescent="0.35">
      <c r="A1" s="200" t="s">
        <v>98</v>
      </c>
      <c r="B1" s="200"/>
      <c r="C1" s="200"/>
      <c r="D1" s="200"/>
      <c r="E1" s="200"/>
      <c r="F1" s="200"/>
      <c r="G1" s="200"/>
      <c r="H1" s="200"/>
      <c r="I1" s="200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</row>
    <row r="3" spans="1:20" x14ac:dyDescent="0.3">
      <c r="C3" s="190"/>
      <c r="D3" s="190"/>
    </row>
    <row r="4" spans="1:20" x14ac:dyDescent="0.3">
      <c r="A4" s="3"/>
      <c r="B4" s="3"/>
      <c r="C4" s="3"/>
      <c r="D4" s="3"/>
      <c r="E4" s="3"/>
      <c r="F4" s="3"/>
      <c r="G4" s="3"/>
      <c r="H4" s="3"/>
      <c r="I4" s="3"/>
    </row>
    <row r="5" spans="1:20" x14ac:dyDescent="0.3">
      <c r="C5" s="190"/>
      <c r="D5" s="190"/>
    </row>
    <row r="6" spans="1:20" x14ac:dyDescent="0.3">
      <c r="B6" s="2"/>
      <c r="C6" s="2"/>
    </row>
    <row r="7" spans="1:20" x14ac:dyDescent="0.3">
      <c r="C7" s="100"/>
      <c r="E7" s="88"/>
      <c r="G7" s="88"/>
    </row>
    <row r="8" spans="1:20" ht="15.6" customHeight="1" x14ac:dyDescent="0.3">
      <c r="C8" s="108"/>
      <c r="G8" s="85"/>
    </row>
    <row r="9" spans="1:20" x14ac:dyDescent="0.3">
      <c r="A9" s="84"/>
      <c r="B9" s="89" t="s">
        <v>69</v>
      </c>
      <c r="C9" s="89" t="s">
        <v>71</v>
      </c>
    </row>
    <row r="10" spans="1:20" x14ac:dyDescent="0.3">
      <c r="A10" s="84"/>
      <c r="B10" s="76" t="s">
        <v>15</v>
      </c>
      <c r="C10" s="29">
        <v>5</v>
      </c>
    </row>
    <row r="11" spans="1:20" x14ac:dyDescent="0.3">
      <c r="A11" s="100" t="s">
        <v>72</v>
      </c>
      <c r="B11" s="76" t="s">
        <v>17</v>
      </c>
      <c r="C11" s="29">
        <v>8</v>
      </c>
    </row>
    <row r="12" spans="1:20" x14ac:dyDescent="0.3">
      <c r="A12" s="110" t="s">
        <v>100</v>
      </c>
      <c r="B12" s="76" t="s">
        <v>16</v>
      </c>
      <c r="C12" s="29">
        <v>10</v>
      </c>
    </row>
    <row r="13" spans="1:20" x14ac:dyDescent="0.3">
      <c r="A13" s="84"/>
      <c r="B13" s="86" t="str">
        <f>"=//="</f>
        <v>=//=</v>
      </c>
      <c r="C13" s="29">
        <v>0</v>
      </c>
    </row>
    <row r="14" spans="1:20" x14ac:dyDescent="0.3">
      <c r="A14" s="3"/>
      <c r="B14" s="87" t="str">
        <f>"=//="</f>
        <v>=//=</v>
      </c>
      <c r="C14" s="38">
        <v>0</v>
      </c>
    </row>
    <row r="15" spans="1:20" x14ac:dyDescent="0.3">
      <c r="B15" s="2"/>
      <c r="C15" s="2"/>
      <c r="D15" s="39"/>
      <c r="E15" s="39"/>
      <c r="H15" s="3"/>
      <c r="I15" s="3"/>
    </row>
    <row r="16" spans="1:20" x14ac:dyDescent="0.3">
      <c r="B16" s="90" t="s">
        <v>73</v>
      </c>
      <c r="C16" s="91" t="s">
        <v>71</v>
      </c>
      <c r="H16" s="3"/>
      <c r="I16" s="3"/>
    </row>
    <row r="17" spans="1:5" x14ac:dyDescent="0.3">
      <c r="B17" s="77" t="s">
        <v>6</v>
      </c>
      <c r="C17" s="92">
        <v>4</v>
      </c>
    </row>
    <row r="18" spans="1:5" x14ac:dyDescent="0.3">
      <c r="A18" s="99" t="s">
        <v>9</v>
      </c>
      <c r="B18" s="77" t="s">
        <v>18</v>
      </c>
      <c r="C18" s="92">
        <v>7</v>
      </c>
    </row>
    <row r="19" spans="1:5" x14ac:dyDescent="0.3">
      <c r="A19" s="110" t="s">
        <v>101</v>
      </c>
      <c r="B19" s="77" t="s">
        <v>19</v>
      </c>
      <c r="C19" s="92">
        <v>5</v>
      </c>
    </row>
    <row r="20" spans="1:5" x14ac:dyDescent="0.3">
      <c r="B20" s="77" t="s">
        <v>20</v>
      </c>
      <c r="C20" s="92">
        <v>8</v>
      </c>
    </row>
    <row r="21" spans="1:5" x14ac:dyDescent="0.3">
      <c r="B21" s="93" t="s">
        <v>30</v>
      </c>
      <c r="C21" s="94">
        <v>10</v>
      </c>
    </row>
    <row r="23" spans="1:5" x14ac:dyDescent="0.3">
      <c r="B23" s="113" t="s">
        <v>73</v>
      </c>
      <c r="C23" s="114" t="s">
        <v>71</v>
      </c>
    </row>
    <row r="24" spans="1:5" x14ac:dyDescent="0.3">
      <c r="B24" s="75" t="s">
        <v>22</v>
      </c>
      <c r="C24" s="29">
        <v>6</v>
      </c>
      <c r="E24" s="88"/>
    </row>
    <row r="25" spans="1:5" x14ac:dyDescent="0.3">
      <c r="A25" s="88" t="s">
        <v>10</v>
      </c>
      <c r="B25" s="75" t="s">
        <v>21</v>
      </c>
      <c r="C25" s="29">
        <v>9</v>
      </c>
      <c r="E25" s="85"/>
    </row>
    <row r="26" spans="1:5" x14ac:dyDescent="0.3">
      <c r="A26" s="110" t="s">
        <v>102</v>
      </c>
      <c r="B26" s="77" t="str">
        <f>"=//="</f>
        <v>=//=</v>
      </c>
      <c r="C26" s="29">
        <v>0</v>
      </c>
    </row>
    <row r="27" spans="1:5" x14ac:dyDescent="0.3">
      <c r="B27" s="77" t="str">
        <f>"=//="</f>
        <v>=//=</v>
      </c>
      <c r="C27" s="29">
        <v>0</v>
      </c>
    </row>
    <row r="28" spans="1:5" x14ac:dyDescent="0.3">
      <c r="B28" s="93" t="str">
        <f>"=//="</f>
        <v>=//=</v>
      </c>
      <c r="C28" s="38">
        <v>0</v>
      </c>
    </row>
    <row r="30" spans="1:5" x14ac:dyDescent="0.3">
      <c r="B30" s="113" t="s">
        <v>73</v>
      </c>
      <c r="C30" s="114" t="s">
        <v>74</v>
      </c>
    </row>
    <row r="31" spans="1:5" x14ac:dyDescent="0.3">
      <c r="B31" s="75" t="s">
        <v>23</v>
      </c>
      <c r="C31" s="29">
        <v>8</v>
      </c>
    </row>
    <row r="32" spans="1:5" x14ac:dyDescent="0.3">
      <c r="A32" s="99" t="s">
        <v>11</v>
      </c>
      <c r="B32" s="75" t="s">
        <v>39</v>
      </c>
      <c r="C32" s="29">
        <v>9</v>
      </c>
    </row>
    <row r="33" spans="1:12" x14ac:dyDescent="0.3">
      <c r="A33" s="110" t="s">
        <v>103</v>
      </c>
      <c r="B33" s="77" t="str">
        <f>"=//="</f>
        <v>=//=</v>
      </c>
      <c r="C33" s="29">
        <v>0</v>
      </c>
    </row>
    <row r="34" spans="1:12" x14ac:dyDescent="0.3">
      <c r="B34" s="77" t="str">
        <f>"=//="</f>
        <v>=//=</v>
      </c>
      <c r="C34" s="29">
        <v>0</v>
      </c>
      <c r="E34" s="147"/>
      <c r="F34" s="147"/>
      <c r="G34" s="147"/>
      <c r="H34" s="147"/>
      <c r="I34" s="147"/>
      <c r="J34" s="147"/>
      <c r="K34" s="147"/>
      <c r="L34" s="147"/>
    </row>
    <row r="35" spans="1:12" x14ac:dyDescent="0.3">
      <c r="B35" s="93" t="str">
        <f>"=//="</f>
        <v>=//=</v>
      </c>
      <c r="C35" s="96">
        <v>0</v>
      </c>
    </row>
    <row r="37" spans="1:12" x14ac:dyDescent="0.3">
      <c r="B37" s="113" t="s">
        <v>69</v>
      </c>
      <c r="C37" s="114" t="s">
        <v>74</v>
      </c>
    </row>
    <row r="38" spans="1:12" x14ac:dyDescent="0.3">
      <c r="B38" s="75" t="s">
        <v>24</v>
      </c>
      <c r="C38" s="29">
        <v>9</v>
      </c>
    </row>
    <row r="39" spans="1:12" x14ac:dyDescent="0.3">
      <c r="A39" s="99" t="s">
        <v>12</v>
      </c>
      <c r="B39" s="75" t="s">
        <v>25</v>
      </c>
      <c r="C39" s="29">
        <v>7</v>
      </c>
    </row>
    <row r="40" spans="1:12" x14ac:dyDescent="0.3">
      <c r="A40" s="110" t="s">
        <v>104</v>
      </c>
      <c r="B40" s="77" t="str">
        <f>"=//="</f>
        <v>=//=</v>
      </c>
      <c r="C40" s="29">
        <v>0</v>
      </c>
    </row>
    <row r="41" spans="1:12" x14ac:dyDescent="0.3">
      <c r="B41" s="75" t="s">
        <v>26</v>
      </c>
      <c r="C41" s="29">
        <v>10</v>
      </c>
    </row>
    <row r="42" spans="1:12" x14ac:dyDescent="0.3">
      <c r="B42" s="93" t="str">
        <f>"=//="</f>
        <v>=//=</v>
      </c>
      <c r="C42" s="97">
        <v>0</v>
      </c>
    </row>
    <row r="44" spans="1:12" x14ac:dyDescent="0.3">
      <c r="B44" s="113" t="s">
        <v>69</v>
      </c>
      <c r="C44" s="114" t="s">
        <v>74</v>
      </c>
      <c r="D44" s="112"/>
    </row>
    <row r="45" spans="1:12" x14ac:dyDescent="0.3">
      <c r="B45" s="75" t="s">
        <v>27</v>
      </c>
      <c r="C45" s="29">
        <v>10</v>
      </c>
    </row>
    <row r="46" spans="1:12" x14ac:dyDescent="0.3">
      <c r="A46" s="99" t="s">
        <v>13</v>
      </c>
      <c r="B46" s="75" t="s">
        <v>28</v>
      </c>
      <c r="C46" s="29">
        <v>7</v>
      </c>
    </row>
    <row r="47" spans="1:12" x14ac:dyDescent="0.3">
      <c r="A47" s="110" t="s">
        <v>105</v>
      </c>
      <c r="B47" s="75" t="s">
        <v>29</v>
      </c>
      <c r="C47" s="29">
        <v>5</v>
      </c>
      <c r="D47" s="111"/>
    </row>
    <row r="48" spans="1:12" x14ac:dyDescent="0.3">
      <c r="B48" s="77" t="str">
        <f t="shared" ref="B48" si="0">"=//="</f>
        <v>=//=</v>
      </c>
      <c r="C48" s="29">
        <v>0</v>
      </c>
    </row>
    <row r="49" spans="1:5" x14ac:dyDescent="0.3">
      <c r="B49" s="93" t="str">
        <f>"=//="</f>
        <v>=//=</v>
      </c>
      <c r="C49" s="38">
        <v>0</v>
      </c>
    </row>
    <row r="51" spans="1:5" x14ac:dyDescent="0.3">
      <c r="E51" s="88"/>
    </row>
    <row r="52" spans="1:5" x14ac:dyDescent="0.3">
      <c r="B52" s="113" t="s">
        <v>69</v>
      </c>
      <c r="C52" s="114" t="s">
        <v>74</v>
      </c>
      <c r="E52" s="85"/>
    </row>
    <row r="53" spans="1:5" x14ac:dyDescent="0.3">
      <c r="A53" s="88" t="s">
        <v>31</v>
      </c>
      <c r="B53" s="75" t="s">
        <v>32</v>
      </c>
      <c r="C53" s="29">
        <v>10</v>
      </c>
    </row>
    <row r="54" spans="1:5" x14ac:dyDescent="0.3">
      <c r="A54" s="110" t="s">
        <v>106</v>
      </c>
      <c r="B54" s="75" t="s">
        <v>33</v>
      </c>
      <c r="C54" s="29">
        <v>9</v>
      </c>
    </row>
    <row r="55" spans="1:5" x14ac:dyDescent="0.3">
      <c r="B55" s="75" t="s">
        <v>35</v>
      </c>
      <c r="C55" s="29">
        <v>9</v>
      </c>
    </row>
    <row r="56" spans="1:5" x14ac:dyDescent="0.3">
      <c r="B56" s="75" t="s">
        <v>34</v>
      </c>
      <c r="C56" s="29">
        <v>4</v>
      </c>
    </row>
    <row r="57" spans="1:5" x14ac:dyDescent="0.3">
      <c r="B57" s="93" t="str">
        <f>"=//="</f>
        <v>=//=</v>
      </c>
      <c r="C57" s="38">
        <v>0</v>
      </c>
    </row>
    <row r="60" spans="1:5" x14ac:dyDescent="0.3">
      <c r="B60" s="113" t="s">
        <v>69</v>
      </c>
      <c r="C60" s="114" t="s">
        <v>74</v>
      </c>
    </row>
    <row r="61" spans="1:5" x14ac:dyDescent="0.3">
      <c r="B61" s="95" t="s">
        <v>58</v>
      </c>
      <c r="C61" s="29">
        <v>3</v>
      </c>
    </row>
    <row r="62" spans="1:5" x14ac:dyDescent="0.3">
      <c r="A62" s="88" t="s">
        <v>14</v>
      </c>
      <c r="B62" s="95" t="s">
        <v>36</v>
      </c>
      <c r="C62" s="29">
        <v>5</v>
      </c>
    </row>
    <row r="63" spans="1:5" x14ac:dyDescent="0.3">
      <c r="A63" s="110" t="s">
        <v>107</v>
      </c>
      <c r="B63" s="95" t="s">
        <v>38</v>
      </c>
      <c r="C63" s="29">
        <v>8</v>
      </c>
    </row>
    <row r="64" spans="1:5" x14ac:dyDescent="0.3">
      <c r="B64" s="95" t="s">
        <v>37</v>
      </c>
      <c r="C64" s="29">
        <v>10</v>
      </c>
    </row>
    <row r="65" spans="2:3" x14ac:dyDescent="0.3">
      <c r="B65" s="98" t="str">
        <f>"=//="</f>
        <v>=//=</v>
      </c>
      <c r="C65" s="38">
        <v>0</v>
      </c>
    </row>
  </sheetData>
  <mergeCells count="3">
    <mergeCell ref="A1:I1"/>
    <mergeCell ref="C3:D3"/>
    <mergeCell ref="C5:D5"/>
  </mergeCells>
  <phoneticPr fontId="10" type="noConversion"/>
  <pageMargins left="0.7" right="0.7" top="0.75" bottom="0.75" header="0.3" footer="0.3"/>
  <pageSetup paperSize="9" orientation="portrait" horizontalDpi="4294967293" verticalDpi="0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2BB1C-E6F1-4116-8BF8-D032003E92C3}">
  <sheetPr codeName="Sheet6"/>
  <dimension ref="A1:L18"/>
  <sheetViews>
    <sheetView workbookViewId="0">
      <selection activeCell="F10" sqref="F10"/>
    </sheetView>
  </sheetViews>
  <sheetFormatPr defaultColWidth="9.109375" defaultRowHeight="14.4" x14ac:dyDescent="0.3"/>
  <cols>
    <col min="1" max="1" width="12.109375" style="1" bestFit="1" customWidth="1"/>
    <col min="2" max="2" width="21.88671875" style="1" customWidth="1"/>
    <col min="3" max="3" width="24.44140625" style="1" customWidth="1"/>
    <col min="4" max="4" width="21.44140625" style="1" customWidth="1"/>
    <col min="5" max="5" width="22.33203125" style="1" customWidth="1"/>
    <col min="6" max="6" width="10.88671875" style="1" bestFit="1" customWidth="1"/>
    <col min="7" max="9" width="9.109375" style="1"/>
    <col min="10" max="10" width="12" style="1" customWidth="1"/>
    <col min="11" max="16384" width="9.109375" style="1"/>
  </cols>
  <sheetData>
    <row r="1" spans="1:12" ht="17.399999999999999" x14ac:dyDescent="0.3">
      <c r="A1" s="201" t="s">
        <v>42</v>
      </c>
      <c r="B1" s="201"/>
      <c r="C1" s="201"/>
      <c r="D1" s="201"/>
      <c r="E1" s="201"/>
      <c r="F1" s="201"/>
      <c r="G1" s="201"/>
      <c r="H1" s="201"/>
      <c r="I1" s="201"/>
      <c r="J1" s="201"/>
    </row>
    <row r="4" spans="1:12" x14ac:dyDescent="0.3">
      <c r="B4" s="8"/>
      <c r="C4" s="8"/>
    </row>
    <row r="6" spans="1:12" ht="15.6" x14ac:dyDescent="0.3">
      <c r="B6" s="40" t="s">
        <v>59</v>
      </c>
      <c r="C6" s="40" t="s">
        <v>40</v>
      </c>
      <c r="D6" s="40" t="s">
        <v>41</v>
      </c>
      <c r="E6" s="190"/>
      <c r="F6" s="190"/>
      <c r="G6" s="190"/>
      <c r="H6" s="190"/>
      <c r="I6" s="190"/>
    </row>
    <row r="7" spans="1:12" x14ac:dyDescent="0.3">
      <c r="B7" s="110" t="s">
        <v>100</v>
      </c>
      <c r="C7" s="81">
        <v>43814</v>
      </c>
      <c r="D7" s="73" t="str">
        <f>"Only exam"</f>
        <v>Only exam</v>
      </c>
    </row>
    <row r="8" spans="1:12" x14ac:dyDescent="0.3">
      <c r="B8" s="110" t="s">
        <v>101</v>
      </c>
      <c r="C8" s="81">
        <v>43801</v>
      </c>
      <c r="D8" s="72" t="str">
        <f>"Only exam"</f>
        <v>Only exam</v>
      </c>
      <c r="E8" s="202"/>
      <c r="F8" s="202"/>
      <c r="G8" s="202"/>
      <c r="H8" s="202"/>
      <c r="I8" s="202"/>
    </row>
    <row r="9" spans="1:12" x14ac:dyDescent="0.3">
      <c r="B9" s="110" t="s">
        <v>102</v>
      </c>
      <c r="C9" s="81">
        <v>43774</v>
      </c>
      <c r="D9" s="72">
        <v>43977</v>
      </c>
      <c r="E9" s="202"/>
      <c r="F9" s="202"/>
      <c r="G9" s="202"/>
      <c r="H9" s="202"/>
      <c r="I9" s="202"/>
    </row>
    <row r="10" spans="1:12" x14ac:dyDescent="0.3">
      <c r="B10" s="110" t="s">
        <v>103</v>
      </c>
      <c r="C10" s="81">
        <v>43804</v>
      </c>
      <c r="D10" s="72">
        <v>43964</v>
      </c>
      <c r="E10" s="10"/>
    </row>
    <row r="11" spans="1:12" x14ac:dyDescent="0.3">
      <c r="B11" s="110" t="s">
        <v>104</v>
      </c>
      <c r="C11" s="82">
        <v>43973</v>
      </c>
      <c r="D11" s="72">
        <v>43803</v>
      </c>
      <c r="E11" s="10"/>
    </row>
    <row r="12" spans="1:12" x14ac:dyDescent="0.3">
      <c r="B12" s="110" t="s">
        <v>105</v>
      </c>
      <c r="C12" s="81">
        <v>43933</v>
      </c>
      <c r="D12" s="72">
        <v>43783</v>
      </c>
      <c r="E12" s="10"/>
    </row>
    <row r="13" spans="1:12" x14ac:dyDescent="0.3">
      <c r="B13" s="110" t="s">
        <v>106</v>
      </c>
      <c r="C13" s="81">
        <v>43955</v>
      </c>
      <c r="D13" s="72" t="str">
        <f>"Only exam"</f>
        <v>Only exam</v>
      </c>
      <c r="E13" s="10"/>
    </row>
    <row r="14" spans="1:12" x14ac:dyDescent="0.3">
      <c r="B14" s="110" t="s">
        <v>107</v>
      </c>
      <c r="C14" s="83">
        <v>43954</v>
      </c>
      <c r="D14" s="74" t="str">
        <f>"Only exam"</f>
        <v>Only exam</v>
      </c>
    </row>
    <row r="15" spans="1:12" x14ac:dyDescent="0.3">
      <c r="C15" s="71"/>
      <c r="D15" s="71"/>
    </row>
    <row r="16" spans="1:12" x14ac:dyDescent="0.3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2:12" x14ac:dyDescent="0.3">
      <c r="B17" s="2"/>
      <c r="C17" s="148"/>
      <c r="D17" s="148"/>
      <c r="E17" s="148"/>
      <c r="F17" s="148"/>
      <c r="G17" s="148"/>
      <c r="H17" s="148"/>
      <c r="I17" s="148"/>
      <c r="J17" s="148"/>
      <c r="K17" s="2"/>
      <c r="L17" s="2"/>
    </row>
    <row r="18" spans="2:12" x14ac:dyDescent="0.3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</row>
  </sheetData>
  <mergeCells count="3">
    <mergeCell ref="A1:J1"/>
    <mergeCell ref="E6:I6"/>
    <mergeCell ref="E8:I9"/>
  </mergeCells>
  <phoneticPr fontId="10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880FE-3285-40B0-BBCE-C84ED84DD989}">
  <sheetPr codeName="Sheet8"/>
  <dimension ref="A1:T28"/>
  <sheetViews>
    <sheetView workbookViewId="0">
      <selection activeCell="C4" sqref="C4"/>
    </sheetView>
  </sheetViews>
  <sheetFormatPr defaultColWidth="14.77734375" defaultRowHeight="14.4" x14ac:dyDescent="0.3"/>
  <cols>
    <col min="1" max="1" width="14.77734375" style="1"/>
    <col min="2" max="2" width="15.6640625" style="1" customWidth="1"/>
    <col min="3" max="6" width="14.77734375" style="1"/>
    <col min="7" max="7" width="13.88671875" style="1" customWidth="1"/>
    <col min="8" max="16384" width="14.77734375" style="1"/>
  </cols>
  <sheetData>
    <row r="1" spans="1:20" ht="17.399999999999999" x14ac:dyDescent="0.3">
      <c r="A1" s="201" t="s">
        <v>55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3"/>
      <c r="P1" s="3"/>
      <c r="Q1" s="3"/>
      <c r="R1" s="3"/>
      <c r="S1" s="3"/>
      <c r="T1" s="3"/>
    </row>
    <row r="2" spans="1:20" x14ac:dyDescent="0.3">
      <c r="F2" s="2"/>
    </row>
    <row r="3" spans="1:20" x14ac:dyDescent="0.3">
      <c r="E3" s="203"/>
      <c r="F3" s="203"/>
      <c r="G3" s="203"/>
      <c r="H3" s="203"/>
      <c r="I3" s="203"/>
    </row>
    <row r="6" spans="1:20" x14ac:dyDescent="0.3">
      <c r="C6" s="204" t="s">
        <v>56</v>
      </c>
      <c r="D6" s="204"/>
      <c r="E6" s="204"/>
      <c r="F6" s="204"/>
      <c r="G6" s="204" t="s">
        <v>44</v>
      </c>
      <c r="H6" s="204"/>
      <c r="I6" s="204"/>
      <c r="J6" s="204"/>
      <c r="K6" s="52"/>
    </row>
    <row r="7" spans="1:20" x14ac:dyDescent="0.3">
      <c r="B7" s="12" t="s">
        <v>46</v>
      </c>
      <c r="C7" s="15">
        <f>AVERAGE(C9:C13)</f>
        <v>90.8</v>
      </c>
      <c r="D7" s="15">
        <f t="shared" ref="D7:J7" si="0">AVERAGE(D9:D13)</f>
        <v>81.8</v>
      </c>
      <c r="E7" s="15">
        <f t="shared" si="0"/>
        <v>71.8</v>
      </c>
      <c r="F7" s="15">
        <f t="shared" si="0"/>
        <v>60.2</v>
      </c>
      <c r="G7" s="15">
        <f t="shared" si="0"/>
        <v>30.8</v>
      </c>
      <c r="H7" s="15">
        <f t="shared" si="0"/>
        <v>47.6</v>
      </c>
      <c r="I7" s="15">
        <f t="shared" si="0"/>
        <v>27.8</v>
      </c>
      <c r="J7" s="15">
        <f t="shared" si="0"/>
        <v>45.8</v>
      </c>
    </row>
    <row r="8" spans="1:20" ht="17.399999999999999" x14ac:dyDescent="0.3">
      <c r="B8" s="24" t="s">
        <v>0</v>
      </c>
      <c r="C8" s="13" t="s">
        <v>47</v>
      </c>
      <c r="D8" s="13" t="s">
        <v>48</v>
      </c>
      <c r="E8" s="13" t="s">
        <v>49</v>
      </c>
      <c r="F8" s="13" t="s">
        <v>50</v>
      </c>
      <c r="G8" s="13" t="s">
        <v>51</v>
      </c>
      <c r="H8" s="13" t="s">
        <v>52</v>
      </c>
      <c r="I8" s="13" t="s">
        <v>53</v>
      </c>
      <c r="J8" s="28" t="s">
        <v>54</v>
      </c>
      <c r="K8" s="2"/>
    </row>
    <row r="9" spans="1:20" x14ac:dyDescent="0.3">
      <c r="B9" s="27">
        <v>18002136</v>
      </c>
      <c r="C9" s="14">
        <v>90</v>
      </c>
      <c r="D9" s="14">
        <v>87</v>
      </c>
      <c r="E9" s="14">
        <v>81</v>
      </c>
      <c r="F9" s="14">
        <v>63</v>
      </c>
      <c r="G9" s="4">
        <v>44</v>
      </c>
      <c r="H9" s="4">
        <v>58</v>
      </c>
      <c r="I9" s="4">
        <v>21</v>
      </c>
      <c r="J9" s="29">
        <v>18</v>
      </c>
      <c r="K9" s="2"/>
    </row>
    <row r="10" spans="1:20" x14ac:dyDescent="0.3">
      <c r="B10" s="27">
        <v>18014049</v>
      </c>
      <c r="C10" s="14">
        <v>85</v>
      </c>
      <c r="D10" s="14">
        <v>72</v>
      </c>
      <c r="E10" s="14">
        <v>55</v>
      </c>
      <c r="F10" s="14">
        <v>36</v>
      </c>
      <c r="G10" s="4">
        <v>22</v>
      </c>
      <c r="H10" s="4">
        <v>33</v>
      </c>
      <c r="I10" s="4">
        <v>34</v>
      </c>
      <c r="J10" s="29">
        <v>74</v>
      </c>
      <c r="K10" s="2"/>
    </row>
    <row r="11" spans="1:20" x14ac:dyDescent="0.3">
      <c r="B11" s="27">
        <v>18035665</v>
      </c>
      <c r="C11" s="14">
        <v>81</v>
      </c>
      <c r="D11" s="14">
        <v>65</v>
      </c>
      <c r="E11" s="14">
        <v>47</v>
      </c>
      <c r="F11" s="14">
        <v>57</v>
      </c>
      <c r="G11" s="4">
        <v>12</v>
      </c>
      <c r="H11" s="4">
        <v>44</v>
      </c>
      <c r="I11" s="4">
        <v>15</v>
      </c>
      <c r="J11" s="29">
        <v>46</v>
      </c>
      <c r="K11" s="2"/>
    </row>
    <row r="12" spans="1:20" x14ac:dyDescent="0.3">
      <c r="B12" s="27">
        <v>18048750</v>
      </c>
      <c r="C12" s="14">
        <v>98</v>
      </c>
      <c r="D12" s="14">
        <v>88</v>
      </c>
      <c r="E12" s="14">
        <v>89</v>
      </c>
      <c r="F12" s="14">
        <v>99</v>
      </c>
      <c r="G12" s="4">
        <v>42</v>
      </c>
      <c r="H12" s="4">
        <v>56</v>
      </c>
      <c r="I12" s="4">
        <v>13</v>
      </c>
      <c r="J12" s="29">
        <v>66</v>
      </c>
      <c r="K12" s="2"/>
    </row>
    <row r="13" spans="1:20" x14ac:dyDescent="0.3">
      <c r="B13" s="35">
        <v>18049600</v>
      </c>
      <c r="C13" s="36">
        <v>100</v>
      </c>
      <c r="D13" s="36">
        <v>97</v>
      </c>
      <c r="E13" s="36">
        <v>87</v>
      </c>
      <c r="F13" s="36">
        <v>46</v>
      </c>
      <c r="G13" s="37">
        <v>34</v>
      </c>
      <c r="H13" s="37">
        <v>47</v>
      </c>
      <c r="I13" s="37">
        <v>56</v>
      </c>
      <c r="J13" s="38">
        <v>25</v>
      </c>
      <c r="K13" s="2"/>
    </row>
    <row r="14" spans="1:20" x14ac:dyDescent="0.3">
      <c r="B14" s="7"/>
      <c r="C14" s="46"/>
      <c r="D14" s="46"/>
      <c r="E14" s="46"/>
      <c r="F14" s="46"/>
      <c r="G14" s="2"/>
      <c r="H14" s="2"/>
      <c r="I14" s="2"/>
      <c r="J14" s="2"/>
      <c r="K14" s="2"/>
    </row>
    <row r="15" spans="1:20" x14ac:dyDescent="0.3">
      <c r="B15" s="7"/>
      <c r="C15" s="46"/>
      <c r="D15" s="46"/>
      <c r="E15" s="46"/>
      <c r="F15" s="46"/>
      <c r="G15" s="2"/>
      <c r="H15" s="2"/>
      <c r="I15" s="2"/>
      <c r="J15" s="2"/>
      <c r="K15" s="2"/>
    </row>
    <row r="16" spans="1:20" x14ac:dyDescent="0.3">
      <c r="B16" s="7"/>
      <c r="C16" s="46"/>
      <c r="D16" s="46"/>
      <c r="E16" s="46"/>
      <c r="F16" s="46"/>
      <c r="G16" s="2"/>
      <c r="H16" s="2"/>
      <c r="I16" s="2"/>
      <c r="J16" s="2"/>
      <c r="K16" s="2"/>
    </row>
    <row r="17" spans="2:11" x14ac:dyDescent="0.3">
      <c r="B17" s="7"/>
      <c r="C17" s="46"/>
      <c r="D17" s="46"/>
      <c r="E17" s="46"/>
      <c r="F17" s="46"/>
      <c r="G17" s="2"/>
      <c r="H17" s="2"/>
      <c r="I17" s="2"/>
      <c r="J17" s="2"/>
      <c r="K17" s="2"/>
    </row>
    <row r="18" spans="2:11" x14ac:dyDescent="0.3">
      <c r="B18" s="7"/>
      <c r="C18" s="46"/>
      <c r="D18" s="46"/>
      <c r="E18" s="46"/>
      <c r="F18" s="46"/>
      <c r="G18" s="2"/>
      <c r="H18" s="2"/>
      <c r="I18" s="2"/>
      <c r="J18" s="2"/>
      <c r="K18" s="2"/>
    </row>
    <row r="19" spans="2:11" x14ac:dyDescent="0.3">
      <c r="B19" s="7"/>
      <c r="C19" s="46"/>
      <c r="D19" s="46"/>
      <c r="E19" s="46"/>
      <c r="F19" s="46"/>
      <c r="G19" s="2"/>
      <c r="H19" s="2"/>
      <c r="I19" s="2"/>
      <c r="J19" s="2"/>
      <c r="K19" s="2"/>
    </row>
    <row r="20" spans="2:11" x14ac:dyDescent="0.3">
      <c r="B20" s="7"/>
      <c r="C20" s="46"/>
      <c r="D20" s="46"/>
      <c r="E20" s="46"/>
      <c r="F20" s="46"/>
      <c r="G20" s="2"/>
      <c r="H20" s="2"/>
      <c r="I20" s="2"/>
      <c r="J20" s="2"/>
      <c r="K20" s="2"/>
    </row>
    <row r="21" spans="2:11" x14ac:dyDescent="0.3">
      <c r="B21" s="7"/>
      <c r="C21" s="46"/>
      <c r="D21" s="46"/>
      <c r="E21" s="46"/>
      <c r="F21" s="46"/>
      <c r="G21" s="2"/>
      <c r="H21" s="2"/>
      <c r="I21" s="2"/>
      <c r="J21" s="2"/>
      <c r="K21" s="2"/>
    </row>
    <row r="22" spans="2:11" x14ac:dyDescent="0.3">
      <c r="B22" s="7"/>
      <c r="C22" s="46"/>
      <c r="D22" s="46"/>
      <c r="E22" s="46"/>
      <c r="F22" s="46"/>
      <c r="G22" s="2"/>
      <c r="H22" s="2"/>
      <c r="I22" s="2"/>
      <c r="J22" s="2"/>
      <c r="K22" s="2"/>
    </row>
    <row r="23" spans="2:11" x14ac:dyDescent="0.3">
      <c r="B23" s="7"/>
      <c r="C23" s="46"/>
      <c r="D23" s="46"/>
      <c r="E23" s="46"/>
      <c r="F23" s="46"/>
      <c r="G23" s="2"/>
      <c r="H23" s="2"/>
      <c r="I23" s="2"/>
      <c r="J23" s="2"/>
      <c r="K23" s="2"/>
    </row>
    <row r="24" spans="2:11" x14ac:dyDescent="0.3">
      <c r="B24" s="7"/>
      <c r="C24" s="46"/>
      <c r="D24" s="46"/>
      <c r="E24" s="46"/>
      <c r="F24" s="46"/>
      <c r="G24" s="2"/>
      <c r="H24" s="2"/>
      <c r="I24" s="2"/>
      <c r="J24" s="2"/>
      <c r="K24" s="2"/>
    </row>
    <row r="25" spans="2:11" x14ac:dyDescent="0.3">
      <c r="B25" s="7"/>
      <c r="C25" s="46"/>
      <c r="D25" s="46"/>
      <c r="E25" s="46"/>
      <c r="F25" s="46"/>
      <c r="G25" s="2"/>
      <c r="H25" s="2"/>
      <c r="I25" s="2"/>
      <c r="J25" s="2"/>
      <c r="K25" s="2"/>
    </row>
    <row r="26" spans="2:11" x14ac:dyDescent="0.3">
      <c r="B26" s="7"/>
      <c r="C26" s="46"/>
      <c r="D26" s="46"/>
      <c r="E26" s="46"/>
      <c r="F26" s="46"/>
      <c r="G26" s="2"/>
      <c r="H26" s="2"/>
      <c r="I26" s="2"/>
      <c r="J26" s="2"/>
      <c r="K26" s="2"/>
    </row>
    <row r="27" spans="2:11" x14ac:dyDescent="0.3">
      <c r="B27" s="7"/>
      <c r="C27" s="46"/>
      <c r="D27" s="46"/>
      <c r="E27" s="46"/>
      <c r="F27" s="46"/>
      <c r="G27" s="2"/>
      <c r="H27" s="2"/>
      <c r="I27" s="2"/>
      <c r="J27" s="2"/>
      <c r="K27" s="2"/>
    </row>
    <row r="28" spans="2:11" x14ac:dyDescent="0.3">
      <c r="B28" s="7"/>
      <c r="C28" s="46"/>
      <c r="D28" s="46"/>
      <c r="E28" s="46"/>
      <c r="F28" s="46"/>
      <c r="G28" s="2"/>
      <c r="H28" s="2"/>
      <c r="I28" s="2"/>
      <c r="J28" s="2"/>
      <c r="K28" s="2"/>
    </row>
  </sheetData>
  <mergeCells count="4">
    <mergeCell ref="E3:I3"/>
    <mergeCell ref="A1:N1"/>
    <mergeCell ref="C6:F6"/>
    <mergeCell ref="G6:J6"/>
  </mergeCells>
  <phoneticPr fontId="10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EF6D4-1665-45E4-8226-7339A55A5879}">
  <sheetPr codeName="Sheet9"/>
  <dimension ref="A3:K25"/>
  <sheetViews>
    <sheetView workbookViewId="0">
      <selection activeCell="E3" sqref="E3"/>
    </sheetView>
  </sheetViews>
  <sheetFormatPr defaultRowHeight="14.4" x14ac:dyDescent="0.3"/>
  <cols>
    <col min="1" max="1" width="16.6640625" style="8" bestFit="1" customWidth="1"/>
    <col min="2" max="2" width="14.88671875" style="8" bestFit="1" customWidth="1"/>
    <col min="3" max="3" width="16.33203125" style="8" customWidth="1"/>
    <col min="4" max="4" width="17.6640625" style="8" customWidth="1"/>
    <col min="5" max="5" width="33.109375" style="8" customWidth="1"/>
    <col min="6" max="7" width="8.88671875" style="8"/>
    <col min="8" max="8" width="15.44140625" style="8" customWidth="1"/>
    <col min="9" max="9" width="9.88671875" style="8" bestFit="1" customWidth="1"/>
    <col min="10" max="11" width="8.88671875" style="8"/>
    <col min="12" max="12" width="33.5546875" style="8" customWidth="1"/>
    <col min="13" max="16384" width="8.88671875" style="8"/>
  </cols>
  <sheetData>
    <row r="3" spans="1:11" x14ac:dyDescent="0.3">
      <c r="A3" s="193" t="s">
        <v>97</v>
      </c>
      <c r="B3" s="193"/>
      <c r="C3" s="193"/>
      <c r="D3" s="193"/>
      <c r="E3" s="19"/>
      <c r="G3" s="203" t="s">
        <v>96</v>
      </c>
      <c r="H3" s="203"/>
      <c r="I3" s="203"/>
      <c r="J3" s="203"/>
      <c r="K3" s="203"/>
    </row>
    <row r="4" spans="1:11" ht="17.399999999999999" x14ac:dyDescent="0.3">
      <c r="A4" s="149" t="s">
        <v>57</v>
      </c>
      <c r="B4" s="150"/>
      <c r="E4" s="150"/>
      <c r="H4" s="205" t="s">
        <v>95</v>
      </c>
      <c r="I4" s="205"/>
    </row>
    <row r="5" spans="1:11" x14ac:dyDescent="0.3">
      <c r="A5" s="151">
        <v>18002136</v>
      </c>
      <c r="B5" s="43"/>
      <c r="E5" s="43"/>
      <c r="H5" s="6">
        <v>18002136</v>
      </c>
      <c r="I5" s="6"/>
    </row>
    <row r="6" spans="1:11" x14ac:dyDescent="0.3">
      <c r="A6" s="151">
        <v>18014049</v>
      </c>
      <c r="B6" s="43"/>
      <c r="E6" s="43"/>
      <c r="H6" s="6">
        <v>18014049</v>
      </c>
      <c r="I6" s="6"/>
    </row>
    <row r="7" spans="1:11" x14ac:dyDescent="0.3">
      <c r="A7" s="151">
        <v>18035665</v>
      </c>
      <c r="B7" s="43"/>
      <c r="E7" s="43"/>
      <c r="H7" s="6">
        <v>18035665</v>
      </c>
      <c r="I7" s="6"/>
    </row>
    <row r="8" spans="1:11" x14ac:dyDescent="0.3">
      <c r="A8" s="151">
        <v>18048750</v>
      </c>
      <c r="B8" s="43"/>
      <c r="E8" s="43"/>
      <c r="H8" s="6">
        <v>18048750</v>
      </c>
      <c r="I8" s="6"/>
    </row>
    <row r="9" spans="1:11" x14ac:dyDescent="0.3">
      <c r="A9" s="151">
        <v>18049600</v>
      </c>
      <c r="B9" s="43"/>
      <c r="E9" s="43"/>
      <c r="H9" s="6">
        <v>18049600</v>
      </c>
      <c r="I9" s="6"/>
    </row>
    <row r="10" spans="1:11" x14ac:dyDescent="0.3">
      <c r="A10" s="151">
        <f>A9+1723</f>
        <v>18051323</v>
      </c>
      <c r="B10" s="43"/>
      <c r="E10" s="43"/>
    </row>
    <row r="11" spans="1:11" x14ac:dyDescent="0.3">
      <c r="A11" s="151">
        <f t="shared" ref="A11:A24" si="0">A10+1723</f>
        <v>18053046</v>
      </c>
      <c r="B11" s="43"/>
      <c r="E11" s="43"/>
    </row>
    <row r="12" spans="1:11" x14ac:dyDescent="0.3">
      <c r="A12" s="151">
        <f t="shared" si="0"/>
        <v>18054769</v>
      </c>
      <c r="B12" s="43"/>
      <c r="E12" s="43"/>
    </row>
    <row r="13" spans="1:11" x14ac:dyDescent="0.3">
      <c r="A13" s="151">
        <f t="shared" si="0"/>
        <v>18056492</v>
      </c>
      <c r="B13" s="43"/>
      <c r="E13" s="43"/>
    </row>
    <row r="14" spans="1:11" x14ac:dyDescent="0.3">
      <c r="A14" s="151">
        <f t="shared" si="0"/>
        <v>18058215</v>
      </c>
      <c r="B14" s="43"/>
      <c r="E14" s="43"/>
    </row>
    <row r="15" spans="1:11" x14ac:dyDescent="0.3">
      <c r="A15" s="151">
        <f t="shared" si="0"/>
        <v>18059938</v>
      </c>
      <c r="B15" s="43"/>
      <c r="E15" s="43"/>
    </row>
    <row r="16" spans="1:11" x14ac:dyDescent="0.3">
      <c r="A16" s="151">
        <f t="shared" si="0"/>
        <v>18061661</v>
      </c>
      <c r="B16" s="43"/>
      <c r="E16" s="43"/>
    </row>
    <row r="17" spans="1:5" x14ac:dyDescent="0.3">
      <c r="A17" s="151">
        <f t="shared" si="0"/>
        <v>18063384</v>
      </c>
      <c r="B17" s="43"/>
      <c r="E17" s="43"/>
    </row>
    <row r="18" spans="1:5" x14ac:dyDescent="0.3">
      <c r="A18" s="151">
        <f t="shared" si="0"/>
        <v>18065107</v>
      </c>
      <c r="B18" s="43"/>
      <c r="E18" s="43"/>
    </row>
    <row r="19" spans="1:5" x14ac:dyDescent="0.3">
      <c r="A19" s="151">
        <f t="shared" si="0"/>
        <v>18066830</v>
      </c>
      <c r="B19" s="43"/>
      <c r="E19" s="43"/>
    </row>
    <row r="20" spans="1:5" x14ac:dyDescent="0.3">
      <c r="A20" s="151">
        <f t="shared" si="0"/>
        <v>18068553</v>
      </c>
      <c r="B20" s="43"/>
      <c r="E20" s="43"/>
    </row>
    <row r="21" spans="1:5" x14ac:dyDescent="0.3">
      <c r="A21" s="151">
        <f t="shared" si="0"/>
        <v>18070276</v>
      </c>
      <c r="B21" s="43"/>
      <c r="E21" s="43"/>
    </row>
    <row r="22" spans="1:5" x14ac:dyDescent="0.3">
      <c r="A22" s="151">
        <f t="shared" si="0"/>
        <v>18071999</v>
      </c>
      <c r="B22" s="43"/>
      <c r="E22" s="43"/>
    </row>
    <row r="23" spans="1:5" x14ac:dyDescent="0.3">
      <c r="A23" s="151">
        <f t="shared" si="0"/>
        <v>18073722</v>
      </c>
      <c r="B23" s="43"/>
      <c r="E23" s="43"/>
    </row>
    <row r="24" spans="1:5" x14ac:dyDescent="0.3">
      <c r="A24" s="151">
        <f t="shared" si="0"/>
        <v>18075445</v>
      </c>
      <c r="B24" s="43"/>
      <c r="E24" s="43"/>
    </row>
    <row r="25" spans="1:5" x14ac:dyDescent="0.3">
      <c r="A25" s="97"/>
      <c r="B25" s="43"/>
      <c r="E25" s="43"/>
    </row>
  </sheetData>
  <mergeCells count="3">
    <mergeCell ref="H4:I4"/>
    <mergeCell ref="G3:K3"/>
    <mergeCell ref="A3:D3"/>
  </mergeCells>
  <phoneticPr fontId="10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Dashboard</vt:lpstr>
      <vt:lpstr>Link</vt:lpstr>
      <vt:lpstr>Attendance </vt:lpstr>
      <vt:lpstr>Grades</vt:lpstr>
      <vt:lpstr>Reading</vt:lpstr>
      <vt:lpstr>Book_Imp.</vt:lpstr>
      <vt:lpstr>Deadlines </vt:lpstr>
      <vt:lpstr>Blackboard</vt:lpstr>
      <vt:lpstr>Users</vt:lpstr>
      <vt:lpstr>Books_Importance</vt:lpstr>
      <vt:lpstr>Deadlines</vt:lpstr>
      <vt:lpstr>Grades</vt:lpstr>
      <vt:lpstr>ListOfIDs</vt:lpstr>
      <vt:lpstr>Reading_List</vt:lpstr>
      <vt:lpstr>Zonelist</vt:lpstr>
    </vt:vector>
  </TitlesOfParts>
  <Company>Aston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Triantafyllidis, Panagiotis (Student)</dc:creator>
  <cp:lastModifiedBy>Panos Triantafyllidis </cp:lastModifiedBy>
  <dcterms:created xsi:type="dcterms:W3CDTF">2020-03-10T11:10:39Z</dcterms:created>
  <dcterms:modified xsi:type="dcterms:W3CDTF">2020-05-04T01:38:57Z</dcterms:modified>
</cp:coreProperties>
</file>